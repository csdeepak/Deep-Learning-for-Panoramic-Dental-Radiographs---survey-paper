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 state="visible" name="Sheet4" sheetId="2" r:id="rId6"/>
    <sheet state="visible" name="Sheet5" sheetId="3" r:id="rId7"/>
    <sheet state="visible" name="Sheet6" sheetId="4" r:id="rId8"/>
    <sheet state="visible" name="Number of Publications by Stand" sheetId="5" r:id="rId9"/>
    <sheet state="visible" name=" Top Datasets by Weighted Contr" sheetId="6" r:id="rId10"/>
    <sheet state="visible" name=" Weighted Evidence Distribution" sheetId="7" r:id="rId11"/>
    <sheet state="visible" name=" Weighted Contribution of Model" sheetId="8" r:id="rId12"/>
    <sheet state="visible" name=" Model Family Weighted Contribu" sheetId="9" r:id="rId13"/>
    <sheet state="visible" name="Sheet9" sheetId="10" r:id="rId14"/>
    <sheet state="visible" name="Model Family Weighted Contribut" sheetId="11" r:id="rId15"/>
    <sheet state="visible" name="Chart1 Distribution of Model Fa" sheetId="12" r:id="rId16"/>
    <sheet state="visible" name="Chart1 Frequency of Explicit Se" sheetId="13" r:id="rId17"/>
  </sheets>
  <definedNames/>
  <calcPr/>
</workbook>
</file>

<file path=xl/sharedStrings.xml><?xml version="1.0" encoding="utf-8"?>
<sst xmlns="http://schemas.openxmlformats.org/spreadsheetml/2006/main" count="1931" uniqueCount="836">
  <si>
    <t>SNO</t>
  </si>
  <si>
    <t>Paper</t>
  </si>
  <si>
    <t>Journal/Conference</t>
  </si>
  <si>
    <t>Year</t>
  </si>
  <si>
    <t>Authors</t>
  </si>
  <si>
    <t>Link</t>
  </si>
  <si>
    <t>Model</t>
  </si>
  <si>
    <t>Dataset</t>
  </si>
  <si>
    <t>Dataset Size</t>
  </si>
  <si>
    <t>Metric</t>
  </si>
  <si>
    <t>Best Result</t>
  </si>
  <si>
    <t>Validation</t>
  </si>
  <si>
    <t>XAI</t>
  </si>
  <si>
    <t>Limitations</t>
  </si>
  <si>
    <t>Research Gap</t>
  </si>
  <si>
    <t>How Our Project is Better</t>
  </si>
  <si>
    <t>Where Our Project Lags</t>
  </si>
  <si>
    <t>Category</t>
  </si>
  <si>
    <t>Paper 1</t>
  </si>
  <si>
    <t>Detection of dental caries under fixed dental prostheses by analyzing digital panoramic radiographs with artificial intelligence algorithms based on deep learning methods</t>
  </si>
  <si>
    <t xml:space="preserve">BMC Oral Health (Journal),Springer </t>
  </si>
  <si>
    <t>Betül Ayhan, Enes Ayan, Saadet Atsü</t>
  </si>
  <si>
    <t>Detection of dental caries under fixed dental prostheses by analyzing digital panoramic radiographs with artificial intelligence algorithms based on deep learning methods | BMC Oral Health</t>
  </si>
  <si>
    <t>YOLOv7; Improved YOLOv7 + CBAM (Convolutional Block Attention Module)</t>
  </si>
  <si>
    <t>Private institutional dataset of digital panoramic radiographs of patients with fixed dental prostheses (FDPs)</t>
  </si>
  <si>
    <t>Stage 1: 1004 panoramic radiographs (904 train, 100 test). Stage 2 (cropped ROIs): 2467 images (2248 train, 219 test)</t>
  </si>
  <si>
    <t>Recall, Precision, mAP, F1-score</t>
  </si>
  <si>
    <t>Caries detection with YOLOv7+CBAM: Recall = 0.827, Precision = 0.834, mAP = 0.846, F1 = 0.830</t>
  </si>
  <si>
    <t>Hold-out split (90% train / 10% test). No cross-validation. Single-center retrospective dataset</t>
  </si>
  <si>
    <t>Not reported in paper</t>
  </si>
  <si>
    <t>Only panoramic radiographs used; bitewing radiographs excluded; performance still insufficient for direct clinical practice; dataset not publicly available; limited generalizability; no multimodal data; no external clinical validation</t>
  </si>
  <si>
    <t>Authors state need for multimodal datasets (panoramic + bitewing), diverse imaging devices, integration of patient-specific factors, and external clinical validation to improve generalizability and diagnostic reliability</t>
  </si>
  <si>
    <t>Our system is multi-task (detection + segmentation + prognosis) whereas this is single-task (caries under FDP detection only); uses modern YOLOv8 vs YOLOv7; includes periodontal segmentation and bone loss estimation; provides structured diagnostic summaries; includes XAI (Grad-CAM/attention maps) while this paper has none; designed as multi-disease clinical decision support and educational tool</t>
  </si>
  <si>
    <t>Smaller and private dataset compared to potential multi-institutional datasets; lower reported accuracy for some tasks (our targets not yet clinically validated); no clinical trial or real-world dentist evaluation yet; no external validation reported for our system</t>
  </si>
  <si>
    <t>C1 – Caries Detection &amp; Severity</t>
  </si>
  <si>
    <t>Paper 2</t>
  </si>
  <si>
    <t>AI-Powered Dental Caries Detection</t>
  </si>
  <si>
    <t>26th International Multitopic Conference (INMIC), IEEE</t>
  </si>
  <si>
    <t>Hira Khuwaja, Shehwar Javed, Ahsan Ali Khidri, Rabeea Jaffari</t>
  </si>
  <si>
    <t>AI-Powered Dental Caries Detection | IEEE Conference Publication</t>
  </si>
  <si>
    <t>YOLOv8, ResNet-50, EfficientDet D1, MobileNet V2</t>
  </si>
  <si>
    <t>Dental Mate Caries Detection Dataset (Roboflow public RGB intraoral images)</t>
  </si>
  <si>
    <t>7,447 RGB images (5,213 train / 1,415 val / 819 test)</t>
  </si>
  <si>
    <t>mAP@[0.50:0.95], mAP@[0.50], Average Recall, Total Loss</t>
  </si>
  <si>
    <t>ResNet-50: mAP@[0.50]=0.670, mAP@[0.50:0.95]=0.436, Recall=0.550, Loss=0.251</t>
  </si>
  <si>
    <t>Train/Validation/Test split (70% / 19% / 11%), no clinical or external validation</t>
  </si>
  <si>
    <t>Uses only smartphone RGB images; no radiographs; limited to single task (caries detection); no clinical validation; no longitudinal or real-world testing</t>
  </si>
  <si>
    <t>Authors state need for real-time clinical application, larger datasets across demographics, longitudinal evaluation, ethical and regulatory validation</t>
  </si>
  <si>
    <t>Our system uses medical radiographs (OPG &amp; bitewing) instead of RGB photos; supports multi-task diagnosis (caries + periodontal); provides segmentation + severity grading + prognosis; includes explainability (Grad-CAM) and clinical decision support</t>
  </si>
  <si>
    <t>This paper has larger dataset (7,447 images) than our current proposed dataset; includes mobile deployment scenario already tested</t>
  </si>
  <si>
    <t>Paper 3</t>
  </si>
  <si>
    <t>Advanced AI-assisted panoramic radiograph analysis for periodontal prognostication and alveolar bone loss detection</t>
  </si>
  <si>
    <t>Frontiers in Dental Medicine (Journal)</t>
  </si>
  <si>
    <t>Jarupat Jundaeng, Rapeeporn Chamchong, Choosak Nithikathkul</t>
  </si>
  <si>
    <t xml:space="preserve"> Advanced AI-Assisted Panoramic Radiograph Analysis for Periodontal           Prognostication and Alveolar Bone Loss Detection </t>
  </si>
  <si>
    <t>YOLOv8-based CNN (two models: teeth segmentation model; CEJ &amp; alveolar bone level segmentation model)</t>
  </si>
  <si>
    <t>Private clinical panoramic radiographs from Fang Hospital, Thailand (SIDEXIS Next Generation, Sirona)</t>
  </si>
  <si>
    <t>2,000 panoramic radiographs (70% train / 10% val / 20% test)</t>
  </si>
  <si>
    <t>Precision, Recall, F1-score, Accuracy, mAP50</t>
  </si>
  <si>
    <t>CEJ &amp; bone level segmentation: Accuracy = 0.98, Sensitivity = 1.0, Specificity = 0.98, F1 = 0.90, mAP50 = 0.995</t>
  </si>
  <si>
    <t>Internal hold-out validation using confusion matrix; no external multi-center validation</t>
  </si>
  <si>
    <t>Single-center dataset; only high-quality panoramic images; no other X-ray devices; low-quality or rare morphologies excluded; no multi-center or cross-device validation</t>
  </si>
  <si>
    <t>Authors state need for multi-center validation, integration of other imaging modalities, real-time clinical deployment, handling suboptimal images</t>
  </si>
  <si>
    <t>Our system integrates caries detection + periodontal segmentation + severity grading + prognosis; includes bitewing + panoramic; uses multi-model ensemble (YOLOv8 + U-Net); provides AI-generated structured diagnostic summaries and Grad-CAM explainability, whereas this paper only covers periodontal bone loss</t>
  </si>
  <si>
    <t>This paper has real hospital data (2,000 cases) with ethical approval and clinical deployment context; our system currently lacks institutional clinical dataset and IRB validation</t>
  </si>
  <si>
    <t>C2 – Periodontal Disease &amp; Bone Loss</t>
  </si>
  <si>
    <t>Paper 4</t>
  </si>
  <si>
    <t>The 2018 Classification of Periodontitis: Challenges from Clinical Perspective</t>
  </si>
  <si>
    <t>Dentistry Journal (MDPI)</t>
  </si>
  <si>
    <t>Marek Chmielewski, Andrea Pilloni, Alessandro Cuozzo, Giuseppe D’Albis, Gerarda D’Elia, Piero Papi, Lorenzo Marini</t>
  </si>
  <si>
    <t>Not reported in paper (clinical narrative review; no ML model proposed)</t>
  </si>
  <si>
    <t>11 previously published clinical studies on 2018 AAP/EFP classification</t>
  </si>
  <si>
    <t>459 clinical periodontal cases; 852 examiners; 31 gold-standard examiners</t>
  </si>
  <si>
    <t>Diagnostic accuracy (%), Inter-examiner agreement (kappa), Intra-examiner agreement (kappa/ICC)</t>
  </si>
  <si>
    <t>Highest reported: Raza et al. 2024 – Stage accuracy 90%, Extent 100%, Grade 100%</t>
  </si>
  <si>
    <t>Comparison with gold-standard examiners across studies; no external validation dataset</t>
  </si>
  <si>
    <t>Narrative review (not systematic); heterogeneity of included studies; no new primary data; no direct AI system evaluated</t>
  </si>
  <si>
    <t>Authors explicitly state need for AI-assisted diagnostic tools for automated radiographic bone loss analysis and periodontal staging to reduce subjectivity and improve consistency</t>
  </si>
  <si>
    <t>Our system provides fully automated AI-based periodontal bone loss detection and staging, whereas this paper only analyzes human diagnostic variability; we offer image-based objective assessment, multi-task learning, and real-time decision support</t>
  </si>
  <si>
    <t>This paper is based on real multi-center clinical studies with expert examiners; our project currently lacks such large-scale human benchmarking and examiner agreement analysis</t>
  </si>
  <si>
    <t>This paper is a clinical narrative review, not an AI system paper — so many AI fields are “Not reported in paper” by definition</t>
  </si>
  <si>
    <t>Paper 5</t>
  </si>
  <si>
    <t>YOLO-based panoramic dental X-ray image analysis</t>
  </si>
  <si>
    <t>Neural Computing and Applications (Springer)</t>
  </si>
  <si>
    <t>Khalid Nassiri, Moulay A. Akhloufi</t>
  </si>
  <si>
    <t>YOLO-based panoramic dental X-ray image analysis | Neural Computing and Applications | Springer Nature Link</t>
  </si>
  <si>
    <t>YOLOv5, YOLOv6, YOLOv7, YOLOv8, YOLOv9 (segmentation variants: YOLOv5-seg, YOLOv7-seg, YOLOv8-seg, YOLOv9-seg)</t>
  </si>
  <si>
    <t>DENTEX public panoramic dental X-ray dataset</t>
  </si>
  <si>
    <t>Quadrant detection: 693 images; Tooth enumeration: 634 images; Anomaly detection: 1005 images</t>
  </si>
  <si>
    <t>Precision, Recall, mAP50, mAP50-95 (for boxes and masks)</t>
  </si>
  <si>
    <t>YOLOv9e-seg: Precision(B)=0.968, Recall(B)=0.962, mAP50(B)=0.978, mAP50-95(B)=0.767; Segmentation mAP50(M)=0.959</t>
  </si>
  <si>
    <t>Internal train/validation/test splits; no external multi-center clinical validation</t>
  </si>
  <si>
    <t>Subtle pathologies difficult to detect; limited disease classification; needs larger and more diverse datasets; no explainability module</t>
  </si>
  <si>
    <t>Authors explicitly state need for pathology classification models, larger multi-center datasets, and explainability methods to improve clinician trust</t>
  </si>
  <si>
    <t>Our system adds severity grading, periodontal bone loss segmentation, prognosis summarization, multi-disease analysis, and Grad-CAM explainability, whereas this paper focuses on detection + segmentation + enumeration only</t>
  </si>
  <si>
    <t>This paper uses a publicly available annotated dataset (DENTEX) and achieves very high mAP scores; our project currently lacks a standardized public benchmark dataset of similar scale</t>
  </si>
  <si>
    <t>C3 – Multi-task / End-to-End OPG Diagnosis</t>
  </si>
  <si>
    <t>Paper 6</t>
  </si>
  <si>
    <t>Deep Learning-Based Recognition of Periodontitis and Dental Caries in Dental X-ray Images</t>
  </si>
  <si>
    <t>Bioengineering (MDPI Journal)</t>
  </si>
  <si>
    <t>Ivane Delos Santos Chen, Chieh-Ming Yang, Mei-Juan Chen, Ming-Chin Chen, Ro-Min Weng, Chia-Hung Yeh</t>
  </si>
  <si>
    <t>Deep Learning-Based Recognition of Periodontitis and Dental Caries in Dental X-ray Images - PMC</t>
  </si>
  <si>
    <t>YOLOv7 (tooth detection) + EfficientNet-B0 (multi-label CNN classifier); also compared with Xception and MobileNetV2</t>
  </si>
  <si>
    <t>Private clinical periapical dental X-ray images from dental clinic in Hualien, Taiwan</t>
  </si>
  <si>
    <t>1525 periapical X-rays → 2850 cropped single-tooth images → after augmentation: 11,000 images (8000 train / 2000 val / 1000 test)</t>
  </si>
  <si>
    <t>Accuracy, Sensitivity (Recall), Specificity, PPV, NPV, ROC AUC, PR AUC</t>
  </si>
  <si>
    <t>EfficientNet-B0: Periodontitis ROC AUC = 98.67%, PR AUC = 98.38%; Dental caries ROC AUC = 98.31%, PR AUC = 97.55%; Tooth detection AP (YOLOv7) = 97.1%</t>
  </si>
  <si>
    <t>10-fold cross-validation on internal dataset; no external validation</t>
  </si>
  <si>
    <t>Grad-CAM used for visual explanation of classification regions</t>
  </si>
  <si>
    <t>Only periapical X-rays; excludes clinical metadata (history, symptoms); single-center dataset; no external or multi-device validation</t>
  </si>
  <si>
    <t>Authors explicitly state need to integrate clinical factors with radiographs, and evaluate AI models using both imaging and clinical data to improve diagnostic accuracy</t>
  </si>
  <si>
    <t>Our system supports panoramic + bitewing X-rays, performs segmentation + severity grading + bone loss estimation + prognosis, not just classification; provides structured diagnostic summary for clinical decision support</t>
  </si>
  <si>
    <t>This paper has real IRB-approved hospital dataset with expert annotations and high classification accuracy (&gt;98% AUC); our project currently lacks such institutional clinical dataset and cross-validation</t>
  </si>
  <si>
    <t>Paper 7</t>
  </si>
  <si>
    <t>Detection of Cavities from Dental Panoramic X-ray Images Using Nested U-Net Models</t>
  </si>
  <si>
    <t>Applied Sciences (MDPI Journal)</t>
  </si>
  <si>
    <t>Shuaa S. Alharbi, Athbah A. AlRugaibah, Haifa F. Alhasson, Rehan Ullah Khan</t>
  </si>
  <si>
    <t>U-Net, U-Net++, U-Net3+ (segmentation CNNs)</t>
  </si>
  <si>
    <t>DNS Panoramic Images Dataset (Ivisionlab) with newly annotated cavity masks</t>
  </si>
  <si>
    <t>1500 panoramic X-rays; only 510 had cavities; cropped dataset: 673 images (after augmentation up to 4432–4908 depending on split)</t>
  </si>
  <si>
    <t>IoU, Dice coefficient, Accuracy, MSE</t>
  </si>
  <si>
    <t>U-Net3+ (test): IoU = 0.67, Dice = 0.60, Accuracy = 0.95</t>
  </si>
  <si>
    <t>Internal train/validation/test splits (various: 80/10/10, 60/40); dentist-annotated ground truth; no external validation</t>
  </si>
  <si>
    <t>Limited dataset; only panoramic modality; single-center annotation; shadows and image quality issues; models fail on low-quality panoramic images; no clinical trials</t>
  </si>
  <si>
    <t>Authors explicitly state need for multi-modality dental imaging, hypermodels (ensembles), and testing new CNN architectures for better generalization</t>
  </si>
  <si>
    <t>Our system performs object detection + severity grading + periodontal segmentation + bone loss + prognosis, whereas this paper only does binary cavity segmentation; we use YOLOv8 + U-Net ensemble, include bitewing images, and provide explainability (Grad-CAM)</t>
  </si>
  <si>
    <t>This paper has expert dentist annotations and reports quantitative segmentation metrics on real clinical images; our system currently lacks dentist-labeled cavity masks and large annotated OPG dataset</t>
  </si>
  <si>
    <t>Paper 8</t>
  </si>
  <si>
    <t>A Deep Learning Approach to Automatic Tooth Caries Segmentation in Panoramic Radiographs of Children in Primary Dentition, Mixed Dentition, and Permanent Dentition</t>
  </si>
  <si>
    <t>Children (MDPI Journal)</t>
  </si>
  <si>
    <t>Esra Asci, Münevver Kılıç, Özer Çelik, Kenan Cantekin, Hasan Basri Bircan, İbrahim Şevki Bayrakdar, Kaan Orhan</t>
  </si>
  <si>
    <t>U-Net (encoder–decoder CNN, 4 blocks, 32–512 filters)</t>
  </si>
  <si>
    <t>Private clinical pediatric panoramic radiographs from Ataturk University archive (Planmeca ProMax 2D)</t>
  </si>
  <si>
    <t>6075 panoramic X-rays (Primary: 1857, Mixed: 1406, Permanent: 2812); Total used for final model: 4875 images</t>
  </si>
  <si>
    <t>Sensitivity, Precision, F1-score, ROC AUC</t>
  </si>
  <si>
    <t>Total dataset: Sensitivity = 0.8269, Precision = 0.9123, F1 = 0.8675, ROC AUC = 0.76</t>
  </si>
  <si>
    <t>Internal train/validation/test split; dentist-annotated ground truth; no external validation</t>
  </si>
  <si>
    <t>Only panoramic radiographs; no bitewing or CBCT; no cascade network; performance below 90% clinical threshold; no histological confirmation; no comparison with other radiographic methods</t>
  </si>
  <si>
    <t>Authors explicitly state need for cascade networks, caries staging, larger datasets, histological confirmation, and comparison with clinical methods</t>
  </si>
  <si>
    <t>Our system performs object detection + severity grading + periodontal segmentation + bone loss estimation + prognosis, whereas this paper only does binary caries segmentation; we use YOLOv8 + U-Net ensemble, include bitewing images, and provide Grad-CAM explainability</t>
  </si>
  <si>
    <t>This paper has a large real pediatric clinical dataset (6075 OPGs) with ethical approval and expert annotations; our project currently lacks such large-scale pediatric hospital data</t>
  </si>
  <si>
    <t>Paper 9</t>
  </si>
  <si>
    <t>Automated Detection of Periodontal Bone Loss in Two-Dimensional (2D) Radiographs Using Artificial Intelligence: A Systematic Review</t>
  </si>
  <si>
    <t>Alin M. Iacob, Marta Castrillón Fernández, Laura Fernández Robledo, Enrique Barbeito Castro, Matías Ferrán Escobedo Martínez</t>
  </si>
  <si>
    <t>[PDF] Automated Detection of Periodontal Bone Loss in Two-Dimensional (2D) Radiographs Using Artificial Intelligence: A Systematic Review | Semantic Scholar</t>
  </si>
  <si>
    <t>Not reported in paper (systematic review; multiple CNN architectures surveyed such as U-Net, YOLO, ResNet, ConvNeXt, DeNTNet, Diagnocat)</t>
  </si>
  <si>
    <t>20 diagnostic accuracy studies using panoramic, periapical, and bitewing radiographs</t>
  </si>
  <si>
    <t>Total across studies: 141,166 radiographs (20,942 panoramic; 120,224 periapical/bitewing); individual studies range: 30 – 103,914 images</t>
  </si>
  <si>
    <t>Accuracy, Sensitivity, Specificity, Precision, F1-score, AUROC, Dice, IoU</t>
  </si>
  <si>
    <t>Not reported in paper (review reports ranges; no single best model)</t>
  </si>
  <si>
    <t>QUADAS-2 risk of bias assessment; PRISMA-based systematic review; Cohen’s kappa for inter-rater agreement</t>
  </si>
  <si>
    <t>Not reported in paper (no XAI methods evaluated)</t>
  </si>
  <si>
    <t>High heterogeneity across studies; lack of standardization of metrics; many studies single-center; many lack external validation; variability in imaging protocols and CNN architectures</t>
  </si>
  <si>
    <t>Authors explicitly state need for multicenter datasets, standardized imaging protocols, external validation, larger datasets, and integration of additional data (CBCT, clinical risk factors) to improve generalizability and clinical applicability</t>
  </si>
  <si>
    <t>Our system is a single unified multi-task AI pipeline (YOLOv8 + U-Net) for both caries and periodontal disease, whereas this paper only reviews periodontal bone loss studies and does not propose an end-to-end system</t>
  </si>
  <si>
    <t>This paper synthesizes real multi-center evidence from 141k+ radiographs and provides clinical-grade validation analysis; our project currently lacks such large-scale systematic clinical benchmarking</t>
  </si>
  <si>
    <t>Paper 10</t>
  </si>
  <si>
    <t>Automated Diagnosis of Dental Conditions in Panoramic X-Rays with Ensemble Deep Learning Models</t>
  </si>
  <si>
    <t>2025 Intelligent Methods, Systems, and Applications (IMSA), IEEE</t>
  </si>
  <si>
    <t>Mohaned Gamal, Aly Essam, Ayman Atia</t>
  </si>
  <si>
    <t xml:space="preserve">Diagnosis of Dental Conditions in Panoramic X-Rays with Ensemble Deep Learning ModelsAutomated </t>
  </si>
  <si>
    <t>Custom CNN, ResNet-50, InceptionV3, DenseNet121, VGG19 with ensemble methods (Weighted Average, Stacking with XGBoost, Bagging, Boosting)</t>
  </si>
  <si>
    <t>Roboflow panoramic dental X-ray dataset with tooth-level bounding boxes</t>
  </si>
  <si>
    <t>1,075 panoramic X-rays → 1,814 cropped tooth images (1,357 train / 273 val / 184 test)</t>
  </si>
  <si>
    <t>Accuracy, Precision, Recall, F1-score, MCC, AUC-ROC</t>
  </si>
  <si>
    <t>Weighted Average Ensemble: Accuracy = 92.93%, Precision = 92.93%, Recall = 92.93%, F1 = 0.92</t>
  </si>
  <si>
    <t>Internal train/validation/test split; no external validation; tested on 4 real cases</t>
  </si>
  <si>
    <t>Limited dataset diversity and size; overfitting risk; high computational cost; lack of explainability tools; no clinical trials or external benchmarks</t>
  </si>
  <si>
    <t>Authors explicitly state need for larger diverse datasets, clinical trials, lightweight models for real-time use, Grad-CAM/attention-based explainability, and expanded diagnostic scope including periodontal disease</t>
  </si>
  <si>
    <t>Our system adds segmentation, severity grading, periodontal bone loss estimation, tooth-level prognosis, and Grad-CAM explainability; supports multi-task learning (detection + segmentation + prognosis) and bitewing + panoramic modalities, whereas this paper is only tooth-level classification</t>
  </si>
  <si>
    <t>This paper achieves high accuracy (92.93%) on a real dataset and implements ensemble learning with ESRGAN preprocessing; our project currently lacks external clinical validation and ensemble benchmarking</t>
  </si>
  <si>
    <t>Paper 11</t>
  </si>
  <si>
    <t>Artificial Intelligence for Radiographic Imaging Detection of Caries Lesions: A Systematic Review</t>
  </si>
  <si>
    <t>BMC Oral Health (Journal)</t>
  </si>
  <si>
    <t>Domenico Albano et al.</t>
  </si>
  <si>
    <t>Artificial intelligence for radiographic imaging detection of caries lesions: a systematic review</t>
  </si>
  <si>
    <t>Not reported in paper (systematic review; includes ANN, CNN, DCNN across studies)</t>
  </si>
  <si>
    <t>20 included studies using periapical, bitewing, and panoramic radiographs</t>
  </si>
  <si>
    <t>Individual studies range: 15 – 2900 images</t>
  </si>
  <si>
    <t>Sensitivity, Specificity, Accuracy, Precision, F1, Dice, IoU, AUC</t>
  </si>
  <si>
    <t>Best ranges reported: Accuracy up to 0.98, AUC up to 0.98</t>
  </si>
  <si>
    <t>PRISMA systematic review, QUADAS-2 risk of bias</t>
  </si>
  <si>
    <t>High heterogeneity of datasets; small sample sizes; lack of standardization; limited external validation</t>
  </si>
  <si>
    <t>Authors explicitly call for large, standardized, clinically meaningful datasets and multicenter validation</t>
  </si>
  <si>
    <t>Our system is a single unified end-to-end multi-task model, not just a literature synthesis; supports detection + segmentation + prognosis with explainability</t>
  </si>
  <si>
    <t>This review aggregates real clinical evidence across 20 studies, far larger than our current experimental validation</t>
  </si>
  <si>
    <t>Paper 12</t>
  </si>
  <si>
    <t>DenseNet201-Powered Dental Radiograph Classification: A Deep Learning Approach for Multi-class Dental Pathology Detection</t>
  </si>
  <si>
    <t>ICPC2T – IEEE Conference</t>
  </si>
  <si>
    <t>Pratham Kaushik, Pooja Sharma</t>
  </si>
  <si>
    <t>DenseNet201-Powered Dental Radiograph Classification: A Deep Learning Approach for Multi-class Dental Pathology Detection | Semantic Scholar</t>
  </si>
  <si>
    <t>DenseNet201 (transfer learning)</t>
  </si>
  <si>
    <t>Private dental X-ray dataset</t>
  </si>
  <si>
    <t>29,815 X-ray images (Normal, Filling, Implant, Cavity, Impacted)</t>
  </si>
  <si>
    <t>Accuracy, F1-score</t>
  </si>
  <si>
    <t>Overall accuracy = 91%; F1 for cavity = 0.27</t>
  </si>
  <si>
    <t>Train/validation/test split (85.3/9.1/5.6)</t>
  </si>
  <si>
    <t>Severe class imbalance; poor cavity performance; no localization; no segmentation; no clinical validation</t>
  </si>
  <si>
    <t>Authors explicitly propose attention mechanisms and larger balanced datasets for minority classes</t>
  </si>
  <si>
    <t>Our system performs object detection + segmentation + grading + bone loss + prognosis, while this paper only performs image-level classification</t>
  </si>
  <si>
    <t>This paper uses a very large dataset (29k images), much larger than our current dataset</t>
  </si>
  <si>
    <t>Paper 13</t>
  </si>
  <si>
    <t>CariesXrays: Enhancing Caries Detection in Hospital-Scale Panoramic Dental X-rays via Feature Pyramid Contrastive Learning</t>
  </si>
  <si>
    <t>AAAI Conference on Artificial Intelligence</t>
  </si>
  <si>
    <t>Bingzhi Chen et al.</t>
  </si>
  <si>
    <t>CariesXrays: Enhancing Caries Detection in Hospital-scale Panoramic Dental X-rays via Feature Pyramid Contrastive Learning</t>
  </si>
  <si>
    <t>FPCL (Faster R-CNN + Dual-directional FPN + Contrastive Learning)</t>
  </si>
  <si>
    <t>CariesXrays public dataset</t>
  </si>
  <si>
    <t>6,000 panoramic X-rays, 13,783 caries bounding boxes</t>
  </si>
  <si>
    <t>AP, AP50, AP75</t>
  </si>
  <si>
    <t>FPCL: AP = 48.2%, AP50 = 84.1%, AP75 = 50.6%</t>
  </si>
  <si>
    <t>Internal train/test split (4800/1200)</t>
  </si>
  <si>
    <t>Attention visualization shown in feature maps</t>
  </si>
  <si>
    <t>Only caries detection; no severity grading; no periodontal analysis; no prognosis</t>
  </si>
  <si>
    <t>Authors explicitly state future work on other oral diseases beyond caries</t>
  </si>
  <si>
    <t>Our system supports multi-disease pipeline (caries + periodontal + prognosis) and YOLOv8 real-time detection + segmentation</t>
  </si>
  <si>
    <t>This paper provides a large public benchmark dataset and strong detection accuracy</t>
  </si>
  <si>
    <t>Paper 14</t>
  </si>
  <si>
    <t>AI-Dentify: Deep Learning for Proximal Caries Detection on Bitewing X-ray – HUNT4 Oral Health Study</t>
  </si>
  <si>
    <t>Javier Pérez de Frutos et al.</t>
  </si>
  <si>
    <t>AI-Dentify: deep learning for proximal caries detection on bitewing x-ray - HUNT4 Oral Health Study</t>
  </si>
  <si>
    <t>RetinaNet (ResNet50), YOLOv5 (M), EfficientDet (D0/D1)</t>
  </si>
  <si>
    <t>HUNT4 Oral Health Study</t>
  </si>
  <si>
    <t>13,887 bitewing X-rays; 197 consensus test images</t>
  </si>
  <si>
    <t>mAP, F1-score, False Negative Rate</t>
  </si>
  <si>
    <t>YOLOv5: mAP = 0.647, F1 = 0.548</t>
  </si>
  <si>
    <t>5-fold cross validation + expert consensus test set</t>
  </si>
  <si>
    <t>Only bitewing modality; no panoramic; no segmentation; no periodontal disease</t>
  </si>
  <si>
    <t>Authors explicitly state need for better datasets and handling artifacts</t>
  </si>
  <si>
    <t>Our system supports panoramic + bitewing, plus segmentation, severity grading, bone loss, prognosis, explainability</t>
  </si>
  <si>
    <t>This paper has strong real clinical validation with 13k images and expert consensus</t>
  </si>
  <si>
    <t>Paper 15</t>
  </si>
  <si>
    <t>AI-Driven Approaches for Enhancing Early Detection of Dental Caries</t>
  </si>
  <si>
    <t>IEEE ICICKE – International Conference on Intelligent Computing and Knowledge Extraction</t>
  </si>
  <si>
    <t>Sastika B., Raja Marappan</t>
  </si>
  <si>
    <t>Not a single model; review discusses U-Net, ResNet, YOLOv7, YOLOv8, ensemble CNNs, 3D CNNs, SimCLR + ResNet-18</t>
  </si>
  <si>
    <t>Not a single dataset; multiple datasets across reviewed studies (bitewing, panoramic, CBCT, intraoral, DentC, Kaggle teeth)</t>
  </si>
  <si>
    <t>Not reported in paper (review aggregates datasets from 40 images up to 6000+ teeth depending on cited studies)</t>
  </si>
  <si>
    <t>Accuracy, Precision, Recall, F1-score, ROC-AUC</t>
  </si>
  <si>
    <t>Reported ranges: Accuracy 85–99%, Precision 86–96%, F1-score 87–94%</t>
  </si>
  <si>
    <t>Systematic literature review (no original experimental validation)</t>
  </si>
  <si>
    <t>CAM / Grad-CAM discussed in surveyed studies</t>
  </si>
  <si>
    <t>Small, region-specific datasets; lack of large-scale clinical trials; black-box models; limited multimodal integration</t>
  </si>
  <si>
    <t>Authors explicitly state need for multi-modal imaging, large annotated datasets, multi-center clinical trials, and strong XAI integration</t>
  </si>
  <si>
    <t>Our system is an actual end-to-end implemented system (YOLOv8 + U-Net) performing detection + segmentation + severity + bone loss + prognosis, while this paper is only a conceptual/review framework</t>
  </si>
  <si>
    <t>This paper synthesizes dozens of prior studies and metrics, providing broader literature-level evidence than our single-system evaluation</t>
  </si>
  <si>
    <t>Paper 16</t>
  </si>
  <si>
    <t>Cost-effectiveness of Artificial Intelligence for Proximal Caries Detection</t>
  </si>
  <si>
    <t>Journal of Dental Research</t>
  </si>
  <si>
    <t>F. Schwendicke et al.</t>
  </si>
  <si>
    <t>U-Net (fully convolutional neural network)</t>
  </si>
  <si>
    <t>Retrospective bitewing radiographs from German dental clinic</t>
  </si>
  <si>
    <t>Training: 3,293; Validation: 252; Test: 141 bitewing radiographs</t>
  </si>
  <si>
    <t>Accuracy, Sensitivity, Specificity, ICER (cost-effectiveness)</t>
  </si>
  <si>
    <t>AI Accuracy = 0.80; Sensitivity = 0.75; Specificity = 0.83; ICER = –13.9 €/year</t>
  </si>
  <si>
    <t>Internal train/val/test + Monte-Carlo microsimulation (Markov health economics model)</t>
  </si>
  <si>
    <t>Single-center dataset; German healthcare system only; no prospective clinical trial; only proximal caries</t>
  </si>
  <si>
    <t>Authors explicitly call for prospective randomized clinical studies and generalization beyond German healthcare context</t>
  </si>
  <si>
    <t>Our system provides multi-disease diagnosis (caries + periodontal), segmentation, severity grading, bone loss estimation, and clinical decision support, while this paper only studies binary proximal caries detection</t>
  </si>
  <si>
    <t>This paper has real health-economic validation, long-term simulation, and clinical cost-effectiveness evidence, which our system does not yet have</t>
  </si>
  <si>
    <t>Paper 17</t>
  </si>
  <si>
    <t>Accuracy of Artificial Intelligence in Caries Detection: A Systematic Review and Meta-analysis</t>
  </si>
  <si>
    <t>Head &amp; Face Medicine</t>
  </si>
  <si>
    <t>Alexander Maniangat Luke, Nader Nabil Fouad Rezallah</t>
  </si>
  <si>
    <t>Accuracy of artificial intelligence in caries detection: a systematic review and meta-analysis | Head &amp; Face Medicine | Springer Nature Link</t>
  </si>
  <si>
    <t>CNNs (general), EfficientNet, ResNet, AlexNet, VGG, FCNN, DCNN (various across included studies)</t>
  </si>
  <si>
    <t>Multiple datasets from 21 included studies (bitewing, panoramic, periapical radiographs)</t>
  </si>
  <si>
    <t>Ranges from 15 to 11,000 samples per study (meta-analysis total: 17,190 for sensitivity analysis)</t>
  </si>
  <si>
    <t>Accuracy, Sensitivity, Specificity, AUC, OR</t>
  </si>
  <si>
    <t>Best reported: 98.8% accuracy (De Araujo Faria et al., 2021); several studies &gt;95% accuracy</t>
  </si>
  <si>
    <t>Meta-analysis using PRISMA, QUADAS-2 risk of bias assessment, forest plots</t>
  </si>
  <si>
    <t>Not reported in paper (no Grad-CAM / attention analysis)</t>
  </si>
  <si>
    <t>High heterogeneity (I² ≈ 88–96%); many studies retrospective; lack of standardized datasets; patient selection bias; limited external validation</t>
  </si>
  <si>
    <t>Need for large standardized datasets, prospective clinical trials, better generalization across populations, integration into real clinical workflow</t>
  </si>
  <si>
    <t>Our system is multi-task (detection + segmentation + prognosis) while this is only single-task (caries detection); we use modern YOLOv8 + U-Net; includes explainability and clinical decision support</t>
  </si>
  <si>
    <t>Our project lacks large-scale meta-analysis-level dataset and statistical validation across populations</t>
  </si>
  <si>
    <t>c5</t>
  </si>
  <si>
    <t>Paper 18</t>
  </si>
  <si>
    <t>Extraction and Evaluation of Caries in Dental X-ray using UNet: A Study</t>
  </si>
  <si>
    <t>IEEE ICEARS Conference</t>
  </si>
  <si>
    <t>Vickram A S, Mathan Muthu C M</t>
  </si>
  <si>
    <t>Extraction and Evaluation of Caries in Dental X-ray using UNet: A Study | IEEE Conference Publication</t>
  </si>
  <si>
    <t>UNet, UNet+, UNet++, SegNet</t>
  </si>
  <si>
    <t>Dental X-ray dataset from Mendeley (Kybic et al., 2023)</t>
  </si>
  <si>
    <t>500 images (400 train, 50 validation, 50 test)</t>
  </si>
  <si>
    <t>Jaccard, Dice, Accuracy, Precision, Sensitivity, Specificity</t>
  </si>
  <si>
    <t>Best: UNet+ accuracy = 98.03%, Dice = 96.77%</t>
  </si>
  <si>
    <t>Train/validation/test split; no external clinical validation</t>
  </si>
  <si>
    <t>Small dataset; synthetic augmentation; no real clinical dataset; no severity grading; no multi-disease capability</t>
  </si>
  <si>
    <t>Performance must be validated on real clinical X-rays; extend to clinically collected datasets; improve segmentation with better enhancement</t>
  </si>
  <si>
    <t>Our project performs detection + grading + periodontal segmentation + prognosis, while this is only binary caries segmentation; we use object detection (YOLOv8) and XAI</t>
  </si>
  <si>
    <t>Our dataset scale likely smaller than large public datasets; no reported segmentation Dice yet</t>
  </si>
  <si>
    <t>C6</t>
  </si>
  <si>
    <t>Paper 19</t>
  </si>
  <si>
    <t>Automated quality evaluation of dental panoramic radiographs using deep learning</t>
  </si>
  <si>
    <t>Imaging Science in Dentistry</t>
  </si>
  <si>
    <t>Nazila Ameli, Masoud Miri Moghaddam, Hollis Lai, Camila Pacheco-Pereira</t>
  </si>
  <si>
    <t>Automated quality evaluation of dental panoramic radiographs using deep learning - PMC</t>
  </si>
  <si>
    <t>YOLOv8 classification models (5 separate models)</t>
  </si>
  <si>
    <t>Private clinical panoramic radiographs (University of Alberta)</t>
  </si>
  <si>
    <t>1,000 panoramic radiographs (2018–2023)</t>
  </si>
  <si>
    <t>Accuracy, Precision, Recall, F1-score, Cohen’s Kappa</t>
  </si>
  <si>
    <t>Contrast/Density Accuracy = 97.9%; Artifact = 87.2%; Overall Quality = 79.3%</t>
  </si>
  <si>
    <t>Train/Validation/Test split; dual dentist annotation; OMFR adjudication; Cohen’s κ</t>
  </si>
  <si>
    <t>Not a diagnostic system; no disease detection; classification only; multiple separate models; no localization</t>
  </si>
  <si>
    <t>Authors state need to integrate quality assessment into broader diagnostic AI pipelines</t>
  </si>
  <si>
    <t>Our system performs actual disease detection, segmentation, severity grading, prognosis, not pre-diagnostic quality filtering only</t>
  </si>
  <si>
    <t>This paper has formal inter-rater reliability analysis and focuses on image quality control</t>
  </si>
  <si>
    <t>C5 – Datasets &amp; Clinical Validation</t>
  </si>
  <si>
    <t>Paper 20</t>
  </si>
  <si>
    <t>Combining public datasets for automated tooth assessment in panoramic radiographs</t>
  </si>
  <si>
    <t>BMC Oral Health</t>
  </si>
  <si>
    <t>van Nistelrooij et al.</t>
  </si>
  <si>
    <t>(PDF) Combining public datasets for automated tooth assessment in panoramic radiographs</t>
  </si>
  <si>
    <t>Mask DINO (ViT) for tooth instance segmentation + Swin-B Transformers for multi-label diagnosis</t>
  </si>
  <si>
    <t>OdontoAI + DENTEX (public datasets)</t>
  </si>
  <si>
    <t>1,661 PRs (OdontoAI) + 682 PRs (DENTEX)</t>
  </si>
  <si>
    <t>FROC, mAP, Accuracy, F1, AUC</t>
  </si>
  <si>
    <t>Tooth segmentation FROC = 0.988, mAP = 0.848; Impacted teeth AUC = 0.996</t>
  </si>
  <si>
    <t>5-fold cross-validation; held-out test sets</t>
  </si>
  <si>
    <t>Two-stage pipeline slow (~40s/image); weak early caries detection; noisy annotations</t>
  </si>
  <si>
    <t>Authors highlight need for lesion segmentation, annotation verification, and faster pipelines</t>
  </si>
  <si>
    <t>Our system uses single-stage YOLOv8 detection, adds periodontal analysis, prognosis, explainability, and is clinically faster</t>
  </si>
  <si>
    <t>This paper uses larger public datasets and advanced ViT-based segmentation</t>
  </si>
  <si>
    <t>Paper 21</t>
  </si>
  <si>
    <t>Deep learning for tooth detection and segmentation in panoramic radiographs: a systematic review and meta-analysis</t>
  </si>
  <si>
    <t>M. Bonfanti-Gris, A. Herrera, M. P. Salido Rodríguez-Manzaneque, F. Martínez-Rus, G. Pradíes</t>
  </si>
  <si>
    <t>Deep learning for tooth detection and segmentation in panoramic radiographs: a systematic review and meta-analysis | BMC Oral Health | Springer Nature Link</t>
  </si>
  <si>
    <t>Multiple CNNs across studies: Faster R-CNN, ResNet, VGG-16, YOLO, Mask R-CNN, Inception V2/V3, UNet, AlexNet, DetectNet, SqueezeNet, DeepLabv3, SwinNet, EfficientNet, YOLOv5, DeepLabV3Plus</t>
  </si>
  <si>
    <t>20 studies using private and public panoramic radiograph datasets</t>
  </si>
  <si>
    <t>Per study: mostly 500–1500 OPGs; smallest 50 OPGs; largest 4545 OPGs; meta-analysis included 6 studies with 14 models</t>
  </si>
  <si>
    <t>Sensitivity, Specificity, Precision, Recall, F1, mAP, mAR, IoU, AUC, DOR</t>
  </si>
  <si>
    <t>Pooled (meta-analysis): Sensitivity = 0.92 (CI 0.84–0.96), Specificity = 0.94 (CI 0.89–0.97), DOR = 186</t>
  </si>
  <si>
    <t>Meta-analysis with QUADAS-2 risk of bias, GRADE assessment, PRISMA-DTA protocol, forest plots, HSROC</t>
  </si>
  <si>
    <t>High heterogeneity (I² ≈ 96%); lack of standardized datasets; many studies single-center; inconsistent reference standards; limited external validation; poor generalizability</t>
  </si>
  <si>
    <t>Need large multicenter datasets; standardized benchmarks (STARD-AI, CLAIM); external clinical validation; better reference standards; interpretability and clinician trust</t>
  </si>
  <si>
    <t>Our system performs disease-level diagnosis (caries + periodontal) and prognosis, while this paper only evaluates tooth detection/segmentation infrastructure</t>
  </si>
  <si>
    <t>Our project does not yet have meta-analysis-level evidence or pooled diagnostic statistics</t>
  </si>
  <si>
    <t>C6 – Tooth Segmentation &amp; Numbering</t>
  </si>
  <si>
    <t>Paper 22</t>
  </si>
  <si>
    <t>Comparative Evaluation of Images of Alveolar Bone Loss Using Panoramic Images and Artificial Intelligence</t>
  </si>
  <si>
    <t>Engineering Proceedings (MDPI)</t>
  </si>
  <si>
    <t>Ankita Mathur, Sushil Pawar, Praveen K. G. Kamma, Vishnu T. Obulareddy, Kabir S. Dash, Aida Meto, Vini Mehta</t>
  </si>
  <si>
    <t>VGG-16 based CNN (transfer learning)</t>
  </si>
  <si>
    <t>Private institutional panoramic radiographs</t>
  </si>
  <si>
    <t>1,874 OPGs (953 bone loss, 921 normal)</t>
  </si>
  <si>
    <t>Accuracy, Sensitivity, Specificity, Precision, F1-score</t>
  </si>
  <si>
    <t>Accuracy = 89.27%, Sensitivity = 83.27%, Specificity = 86.83%</t>
  </si>
  <si>
    <t>Train/validation/test split; confusion matrix; expert-labeled ground truth</t>
  </si>
  <si>
    <t>Binary classification only; no severity grading; no lesion localization; single-center dataset; no external validation</t>
  </si>
  <si>
    <t>Need fully automated periodontal case detection with clinical validation; need quantitative bone loss estimation instead of binary labels</t>
  </si>
  <si>
    <t>Our system performs bone loss segmentation, quantitative estimation, severity grading, multi-disease diagnosis, and explainability</t>
  </si>
  <si>
    <t>Our project lacks large clinical dataset and statistical validation like this study</t>
  </si>
  <si>
    <t>Paper 23</t>
  </si>
  <si>
    <t>Detection of Periodontal Bone Loss and Periodontitis from 2D Dental Radiographs via Machine Learning and Deep Learning: A Systematic Review and Meta-analysis</t>
  </si>
  <si>
    <t>Dentomaxillofacial Radiology (Oxford)</t>
  </si>
  <si>
    <t>Yahia H. Khubrani et al.</t>
  </si>
  <si>
    <t>Detection of periodontal bone loss and periodontitis from 2D dental radiographs via machine learning and deep learning: systematic review employing APPRAISE-AI and meta-analysis | Dentomaxillofacial Radiology | Oxford Academic</t>
  </si>
  <si>
    <t>Multiple models across studies: CNN, ResNet, VGG, U-Net, Mask R-CNN, YOLO, SVM, GAN, Inception</t>
  </si>
  <si>
    <t>30 studies using panoramic, periapical, bitewing radiographs</t>
  </si>
  <si>
    <t>Per study: 50–4,545 images; meta-analysis included 10 studies</t>
  </si>
  <si>
    <t>Sensitivity, Specificity, Accuracy, AUC, F1, Dice, IoU</t>
  </si>
  <si>
    <t>Pooled: Sensitivity = 87%, Specificity = 76%, Accuracy = 84%</t>
  </si>
  <si>
    <t>PRISMA systematic review, APPRAISE-AI tool, random-effects meta-analysis</t>
  </si>
  <si>
    <t>High heterogeneity; poor reporting standards; lack of external validation; most studies single-center; binary bone loss only</t>
  </si>
  <si>
    <t>Need standardized datasets, multicenter studies, prospective clinical validation, explainable AI</t>
  </si>
  <si>
    <t>Our system is end-to-end clinical diagnostic system with segmentation, prognosis, multi-task learning, and XAI</t>
  </si>
  <si>
    <t>Our project lacks meta-analysis-level statistical evidence and pooled diagnostic performance</t>
  </si>
  <si>
    <t>Paper 24</t>
  </si>
  <si>
    <t>Development and Validation of a Polyfit Approach for Assessing Alveolar Bone Loss Using Panoramic Radiography</t>
  </si>
  <si>
    <t>Erkang Tian, Jiawei Hong et al.</t>
  </si>
  <si>
    <t>Development and validation of a polyfit approach for assessing alveolar bone loss using panoramic radiography | BMC Oral Health | Springer Nature Link</t>
  </si>
  <si>
    <t>PAN-POL mathematical model (polyfit function, not deep learning)</t>
  </si>
  <si>
    <t>PAN + CBCT from West China Hospital</t>
  </si>
  <si>
    <t>290 PAN patients; 30 CBCT for validation</t>
  </si>
  <si>
    <t>ICC, Pearson correlation, statistical tests</t>
  </si>
  <si>
    <t>ICC = 0.83 (PAN), 0.93 (CBCT)</t>
  </si>
  <si>
    <t>Comparison with CBCT measurements; statistical correlation</t>
  </si>
  <si>
    <t>Not a deep learning model; manual landmark annotation; not automated; no lesion detection</t>
  </si>
  <si>
    <t>Need fully automated AI-based segmentation and detection instead of manual polyfit approach</t>
  </si>
  <si>
    <t>Our system is fully automated deep learning, multi-disease, no manual annotation required</t>
  </si>
  <si>
    <t>Our project does not yet have CBCT-based validation</t>
  </si>
  <si>
    <t>Paper 25</t>
  </si>
  <si>
    <t>Evaluation by Dental Professionals of an Artificial Intelligence-Based Application to Measure Alveolar Bone Loss</t>
  </si>
  <si>
    <t>Sang Won Lee et al.</t>
  </si>
  <si>
    <t>Evaluation by dental professionals of an artificial intelligence-based application to measure alveolar bone loss | BMC Oral Health | Springer Nature Link</t>
  </si>
  <si>
    <t>Faster R-CNN (Inception-ResNet-v2), DeepLab v3+ CNN ensemble</t>
  </si>
  <si>
    <t>Bitewing radiographs from Columbia University</t>
  </si>
  <si>
    <t>550 bitewing images (387 patients)</t>
  </si>
  <si>
    <t>Accuracy, AP, ICC, user survey stats</t>
  </si>
  <si>
    <t>AI accuracy = 82–87% for severe bone loss</t>
  </si>
  <si>
    <t>Train/val/test split; expert annotations; survey of 65 dentists</t>
  </si>
  <si>
    <t>Limited to bitewing; no panoramic; no multi-disease; no prognosis; no explainability</t>
  </si>
  <si>
    <t>Need panoramic-based systems; multi-task disease diagnosis; integration into real clinical workflow</t>
  </si>
  <si>
    <t>Our system uses panoramic + bitewing, includes segmentation, prognosis, and educational summaries</t>
  </si>
  <si>
    <t>Our project lacks user-based clinical usability studies</t>
  </si>
  <si>
    <t>c4</t>
  </si>
  <si>
    <t>Paper 26</t>
  </si>
  <si>
    <t>Determining the Efficacy of a Machine Learning Model for Measuring Periodontal Bone Loss</t>
  </si>
  <si>
    <t>Diego Cerda Mardini, Patricio Cerda Mardini, Daniela Paz Vicuña Iturriaga, Duniel Ricardo Ortuño Borroto</t>
  </si>
  <si>
    <t>“Determining the efficacy of a machine learning model for measuring periodontal bone loss” | BMC Oral Health</t>
  </si>
  <si>
    <t>Hybrid model: Statistical inference + DCNN (Xception-based) + rule-based PBL algorithm</t>
  </si>
  <si>
    <t>Panoramic radiographs from Chile + Tufts University public dataset</t>
  </si>
  <si>
    <t>2010 segmented molar images (1970 train, 40 test) from 500 original panoramic X-rays</t>
  </si>
  <si>
    <t>Sensitivity, Specificity, Precision, F1-score, weighted averages</t>
  </si>
  <si>
    <t>Weighted F1-score = 0.29 (light–moderate PBL); Severe PBL F1 = 0</t>
  </si>
  <si>
    <t>Internal validation; comparison with 2 radiologists, 2 periodontists, 1 dentist</t>
  </si>
  <si>
    <t>Cannot detect severe PBL; only molars; low sensitivity; no full panoramic analysis; no segmentation masks; not multi-disease</t>
  </si>
  <si>
    <t>Need improved performance for severe PBL; extend to full dentition; robust DL-only pipeline</t>
  </si>
  <si>
    <t>Our system performs full panoramic segmentation, multi-disease diagnosis, bone loss masks, severity grading, and prognosis</t>
  </si>
  <si>
    <t>Our project lacks human-comparison clinical study and statistical benchmarking</t>
  </si>
  <si>
    <t>Paper 27</t>
  </si>
  <si>
    <t>AI-assisted Radiographic Analysis in Detecting Alveolar Bone-Loss Severity and Patterns</t>
  </si>
  <si>
    <t>arXiv (Computer Vision)</t>
  </si>
  <si>
    <t>Chathura Wimalasiri et al.</t>
  </si>
  <si>
    <t>[2506.20522] AI-assisted radiographic analysis in detecting alveolar bone-loss severity and patterns</t>
  </si>
  <si>
    <t>YOLOv8x, Keypoint R-CNN (ResNet-50 + FPN), YOLOv8x-seg</t>
  </si>
  <si>
    <t>DenPAR dataset (IOPA radiographs)</t>
  </si>
  <si>
    <t>1000 intraoral periapical X-rays</t>
  </si>
  <si>
    <t>ICC, Accuracy</t>
  </si>
  <si>
    <t>ICC = 0.80 (severity), Pattern classification accuracy = 87%</t>
  </si>
  <si>
    <t>Train/val/test split (65/15/20); expert-annotated dataset</t>
  </si>
  <si>
    <t>Only intraoral periapical X-rays; no panoramic; no caries; no prognosis; no explainability</t>
  </si>
  <si>
    <t>Need panoramic-based system; integrate multi-disease diagnosis; clinical usability evaluation</t>
  </si>
  <si>
    <t>Our system uses panoramic + bitewing, includes caries detection, segmentation, prognosis, and XAI</t>
  </si>
  <si>
    <t>Our project does not yet perform bone loss pattern classification (horizontal/vertical)</t>
  </si>
  <si>
    <t>c3</t>
  </si>
  <si>
    <t>Paper 28</t>
  </si>
  <si>
    <t>Integrating Super-Resolution with Deep Learning for Enhanced Periodontal Bone Loss Segmentation in Panoramic Radiographs</t>
  </si>
  <si>
    <t>Bioengineering (MDPI)</t>
  </si>
  <si>
    <t>Vungsovanreach Kong, Eun Young Lee, Kyung Ah Kim, Ho Sun Shon</t>
  </si>
  <si>
    <t>SRGAN (ResNet generator) + U-Net</t>
  </si>
  <si>
    <t>CBNUH Hospital + Kaggle public dataset</t>
  </si>
  <si>
    <t>100 CBNUH + 598 Kaggle (augmented to 600)</t>
  </si>
  <si>
    <t>PSNR, SSIM, Dice, IoU</t>
  </si>
  <si>
    <t>Dice = 0.91, IoU = 84.9% (SRGAN+U-Net)</t>
  </si>
  <si>
    <t>Train/test split (70/30); manual mask labels</t>
  </si>
  <si>
    <t>Only segmentation; no detection; no severity grading; no multi-disease; small dataset</t>
  </si>
  <si>
    <t>Need larger diverse datasets; integrate detection + clinical interpretation</t>
  </si>
  <si>
    <t>Our system performs detection + grading + prognosis + multi-task diagnosis</t>
  </si>
  <si>
    <t>Our project does not use super-resolution and may have lower segmentation quality</t>
  </si>
  <si>
    <t>Paper 29</t>
  </si>
  <si>
    <t>Applications of Deep Learning in Periodontal Disease Diagnosis and Management: A Systematic Review and Critical Appraisal</t>
  </si>
  <si>
    <t>Journal of Medical Artificial Intelligence (AME)</t>
  </si>
  <si>
    <t>Elisabetta Ferrara, Biagio Rapone, Alessandro D’Albenzio</t>
  </si>
  <si>
    <t>Applications of deep learning in periodontal disease diagnosis and management: a systematic review and critical appraisal</t>
  </si>
  <si>
    <t>CNNs and hybrid deep learning architectures (across reviewed studies; no single model proposed)</t>
  </si>
  <si>
    <t>13 studies using panoramic, periapical radiographs and clinical datasets</t>
  </si>
  <si>
    <t>Per study: 50–4,545 images (no unified dataset)</t>
  </si>
  <si>
    <t>Accuracy, Dice, ICC, Sensitivity, Specificity</t>
  </si>
  <si>
    <t>Reported range: Accuracy 73.0% – 98.6%; best Dice = 0.93 for bone level detection; ICC = 0.91 with radiologists</t>
  </si>
  <si>
    <t>PRISMA systematic review; QUADAS-2 quality assessment</t>
  </si>
  <si>
    <t>High heterogeneity; poor generalizability across populations; lack of standardized datasets; limited external clinical validation; absence of explainable AI</t>
  </si>
  <si>
    <t>Need diverse multi-institutional datasets; standardized evaluation metrics; integration of multimodal data; rigorous clinical validation</t>
  </si>
  <si>
    <t>Our system is end-to-end multi-task system with detection, segmentation, grading, prognosis and explainability, while this paper is only a review of single-task systems</t>
  </si>
  <si>
    <t>Our project lacks systematic review-level evidence and pooled diagnostic statistics</t>
  </si>
  <si>
    <t>Paper 30</t>
  </si>
  <si>
    <t>PDCNET: Deep Convolutional Neural Network for Classification of Periodontal Disease Using Dental Radiographs</t>
  </si>
  <si>
    <t>IEEE Access</t>
  </si>
  <si>
    <t>Anas Bilal, Ali Haider Khan, Khalid Almohammadi, Sami A. Al Ghamdi, Haixia Long, Hassaan Malik</t>
  </si>
  <si>
    <t>PDCNET (custom CNN with 5 convolutional blocks, ReLU, MaxPool, Dense, Softmax); compared with EfficientNet-B0, DenseNet-201, VGG-16, VGG-19, Inception-V3, MobileNet</t>
  </si>
  <si>
    <t>Kaggle periodontal dataset + tooth decay dataset</t>
  </si>
  <si>
    <t>50 periodontal + 50 non-periodontal + 926 tooth decay images (before SMOTE)</t>
  </si>
  <si>
    <t>Accuracy, AUC, Precision, Recall, F1-score</t>
  </si>
  <si>
    <t>Best: Accuracy = 98.39%, AUC = 99.79%, F1 = 98.31%</t>
  </si>
  <si>
    <t>Train/validation split; internal validation only; SMOTE-Tomek upsampling</t>
  </si>
  <si>
    <t>Grad-CAM heatmaps used</t>
  </si>
  <si>
    <t>Binary/3-class classification only; no lesion localization; no segmentation; no bone loss quantification; no panoramic focus</t>
  </si>
  <si>
    <t>Need lesion-level detection; quantitative bone loss estimation; real clinical datasets; multi-task diagnosis</t>
  </si>
  <si>
    <t>Our system performs object detection, segmentation, grading, prognosis, and supports panoramic + bitewing images</t>
  </si>
  <si>
    <t>Our project lacks extremely high classification accuracy and does not yet use data balancing like SMOTE</t>
  </si>
  <si>
    <t xml:space="preserve">c1,c2,c4 </t>
  </si>
  <si>
    <t>Paper 31</t>
  </si>
  <si>
    <t>AI-powered precision in dental radiographic analysis using tailored CNNs for tooth numbering and cavity detection</t>
  </si>
  <si>
    <t>PLOS Digital Health</t>
  </si>
  <si>
    <t>Breno Guerra Zancan, José Andery Carneiro, Caio Uehara Martins, Camila Tirapelli, Camila Porto Capel, Eliana Dantas da Costa, Hugo Gaêta-Araujo, José Augusto Baranauskas, Alessandra Alaniz Macedo</t>
  </si>
  <si>
    <t>AI-powered precision in dental radiographic analysis using tailored CNNs for tooth numbering and cavity detection - PMC</t>
  </si>
  <si>
    <t>Inception-v3, InceptionResNet-v2 (transfer learning, Keras, ImageNet weights)</t>
  </si>
  <si>
    <t>FD dataset (private, Brazil) + PD dataset (DENTEX public)</t>
  </si>
  <si>
    <t>FD: 935 PANs → 18,836 teeth; Caries task: 7,304 tooth images (3,652 cavitated + 3,652 non-cavitated)</t>
  </si>
  <si>
    <t>Precision, Recall, Accuracy, Specificity, F1-score</t>
  </si>
  <si>
    <t>Tooth numbering (InceptionResNet-v2): Accuracy = 0.9988, F1 = 0.9788; Caries detection: Accuracy = 0.94, F1 = 0.94</t>
  </si>
  <si>
    <t>Five-fold cross-validation; Wilcoxon signed-rank test; Benjamini–Hochberg FDR correction</t>
  </si>
  <si>
    <t>Only classification (no bounding boxes or segmentation masks); no periodontal analysis; no bone loss estimation; no prognosis; panoramic only; no clinical deployment</t>
  </si>
  <si>
    <t>Need lesion-level localization, quantitative disease assessment, multi-disease diagnosis, clinical decision support</t>
  </si>
  <si>
    <t>Our system performs object detection, severity grading, periodontal segmentation, bone loss estimation, prognosis, and XAI</t>
  </si>
  <si>
    <t>Our project does not yet achieve such high classification accuracy and lacks 5-fold CV statistical testing</t>
  </si>
  <si>
    <t>Paper 32</t>
  </si>
  <si>
    <t>Synthetic Orthopantomography Image Generation Using Generative Adversarial Networks for Data Augmentation</t>
  </si>
  <si>
    <t>International Dental Journal (Elsevier)</t>
  </si>
  <si>
    <t>Maria Waqas, Shehzad Hasan, Ammar Farid Ghori, Amal Alfaraj, Muhammad Faheemuddin, Zohaib Khurshid</t>
  </si>
  <si>
    <t>Synthetic Orthopantomography Image Generation Using Generative Adversarial Networks for Data Augmentation - ScienceDirect</t>
  </si>
  <si>
    <t>GAN variants: DCGAN, WGAN (4 shortlisted models: M1–M4)</t>
  </si>
  <si>
    <t>Private clinical OPGs from Pakistan, Thailand + Tufts Dental Database (USA)</t>
  </si>
  <si>
    <t>4,777 real OPG images (Pakistan 3,209; Thailand 568; USA 1,000); 1,000 synthetic images per GAN model</t>
  </si>
  <si>
    <t>mAP (YOLO detector), expert dentist realism scores</t>
  </si>
  <si>
    <t>YOLO detector achieved strong mAP on synthetic data; Expert realism &gt;50% of real-image scores (M1, M3 best)</t>
  </si>
  <si>
    <t>Automated validation using YOLO object detector + manual evaluation by expert dentists</t>
  </si>
  <si>
    <t>No disease detection or diagnosis; synthetic data only; no clinical performance metrics; no segmentation or grading</t>
  </si>
  <si>
    <t>Need task-specific disease datasets; integrate synthetic data into diagnostic pipelines</t>
  </si>
  <si>
    <t>Our system performs real clinical diagnosis tasks (caries + periodontal), not just data generation</t>
  </si>
  <si>
    <t>Our project does not generate synthetic datasets for large-scale augmentation</t>
  </si>
  <si>
    <t>Paper 33</t>
  </si>
  <si>
    <t>Dual convolutional neural network framework for segmenting dental caries in panoramic radiographs</t>
  </si>
  <si>
    <t>The Journal of Prosthetic Dentistry</t>
  </si>
  <si>
    <t>Yeong-Su Lim, Dohyun Chun, Jihun Kim, Jong-yeol Lee, Myeong Jin Ju, Jae Hyung Park, Hee-Jae Jeon (Article in Press)</t>
  </si>
  <si>
    <t>Dual convolutional neural network framework for segmenting dental caries in panoramic radiographs - ScienceDirect</t>
  </si>
  <si>
    <t>Faster R-CNN (MobilenetV2 backbone) for tooth detection + U-Net (EfficientNet-B0 encoder) for caries segmentation</t>
  </si>
  <si>
    <t>Open-source dataset from Zhejiang Provincial People’s Hospital (China)</t>
  </si>
  <si>
    <t>597 panoramic radiographs (443 train, 50 val, 100 test); U-Net trained on 33,752 cropped tooth images after augmentation</t>
  </si>
  <si>
    <t>IoU, Dice, Recall, Precision, AP</t>
  </si>
  <si>
    <t>IoU = 0.608; Dice = 0.743; Recall = 0.731; Precision = 0.788</t>
  </si>
  <si>
    <t>Train/validation/test split at image level; paired t-test for statistical significance</t>
  </si>
  <si>
    <t>Only caries segmentation; no periodontal disease; panoramic only; no severity grading; no prognosis; no explainability</t>
  </si>
  <si>
    <t>Need multi-disease diagnosis and clinical decision support beyond caries segmentation</t>
  </si>
  <si>
    <t>Our system adds caries detection + severity grading + periodontal segmentation + bone loss estimation + prognosis + XAI</t>
  </si>
  <si>
    <t>Our project lacks such large augmented pixel-level dataset and does not yet report IoU/Dice for segmentation</t>
  </si>
  <si>
    <t>Paper 34</t>
  </si>
  <si>
    <t>A Systematic Review on Caries Detection, Classification, and Segmentation from X-Ray Images</t>
  </si>
  <si>
    <t>Journal of Imaging Informatics in Medicine (Springer)</t>
  </si>
  <si>
    <t>Luiz G. K. Zanini, Izabel R. F. Rubira-Bullen, Fátima L. S. Nunes</t>
  </si>
  <si>
    <t>A Systematic Review on Caries Detection, Classification, and Segmentation from X-Ray Images: Methods, Datasets, Evaluation, and Open Opportunities</t>
  </si>
  <si>
    <t>Not reported in paper (review article – multiple models surveyed: U-Net, Mask R-CNN, ResNet, nnU-Net, etc.)</t>
  </si>
  <si>
    <t>42 studies from ScienceDirect, IEEE, ACM, PubMed</t>
  </si>
  <si>
    <t>Dataset sizes vary (from 80 images to 38,000 images across surveyed studies)</t>
  </si>
  <si>
    <t>Various (Accuracy, Dice, IoU, F1, Precision, Recall depending on study)</t>
  </si>
  <si>
    <t>Not applicable (review paper)</t>
  </si>
  <si>
    <t>PRISMA systematic review methodology</t>
  </si>
  <si>
    <t>Review paper only; no new model; no experimental system</t>
  </si>
  <si>
    <t>Lack of multi-task systems; limited public datasets; most works single-task; lack of caries severity differentiation</t>
  </si>
  <si>
    <t>Our project proposes an actual end-to-end multi-task clinical system instead of a survey</t>
  </si>
  <si>
    <t>Our project lacks the breadth of 42-study meta-analysis</t>
  </si>
  <si>
    <t>Paper 35</t>
  </si>
  <si>
    <t>Advancing Dental Caries Detection in Panoramic X-rays: A Two-Step Deep Learning Approach</t>
  </si>
  <si>
    <t>Informatica Medica Slovenica</t>
  </si>
  <si>
    <t>Žiga Bizjak, Tina Robič</t>
  </si>
  <si>
    <t>YOLOv8 (two-step: Teeth Enumeration Model + Caries Detection Model)</t>
  </si>
  <si>
    <t>DENTEX public dataset + external Slovenian clinical dataset</t>
  </si>
  <si>
    <t>DENTEX: 1005 fully labelled X-rays (2681 carious teeth); External: 85 panoramic X-rays (93 carious teeth)</t>
  </si>
  <si>
    <t>mAP@0.5, lesion-level sensitivity, patient-level specificity, false positives/image</t>
  </si>
  <si>
    <t>TEM: mAP@0.5 = 0.95; CDM lesion sensitivity = 0.70 (internal), 0.67 (external)</t>
  </si>
  <si>
    <t>Internal validation on DENTEX + external validation on real clinic data</t>
  </si>
  <si>
    <t>Only caries detection; no segmentation; no periodontal disease; no severity grading beyond deep/normal; no prognosis</t>
  </si>
  <si>
    <t>Need multi-disease analysis and segmentation-based assessment</t>
  </si>
  <si>
    <t>Our system adds periodontal segmentation, bone loss estimation, severity grading, prognosis, XAI</t>
  </si>
  <si>
    <t>Our project does not yet perform external clinical validation</t>
  </si>
  <si>
    <t>Paper 36</t>
  </si>
  <si>
    <t>Detection of tooth decay and its severity based on processing of panoramic radiographic images</t>
  </si>
  <si>
    <t>ICBIP 2024 – International Conference on Biomedical Signal and Image Processing (ACM)</t>
  </si>
  <si>
    <t>Parastoo Asadi</t>
  </si>
  <si>
    <t>Faster R-CNN (Region Proposal Network + CNN classifier)</t>
  </si>
  <si>
    <t>UFBA-UESC Dental Images Dataset (Diagnostic Imaging Center of Southwest State University of Bahia)</t>
  </si>
  <si>
    <t>1000 panoramic images (750 train, 250 test); originally 4000 available</t>
  </si>
  <si>
    <t>Accuracy, Precision, Recall, F0.5-score</t>
  </si>
  <si>
    <t>Accuracy = 94%; F0.5 = 0.89 (test set); Recall for mild = 0.64, severe = 0.69</t>
  </si>
  <si>
    <t>Hold-out split (75% train / 25% test)</t>
  </si>
  <si>
    <t>Uses only single-center dataset; limited dataset size; mild caries detection significantly weaker; panoramic images have low visual quality</t>
  </si>
  <si>
    <t>Authors state need for stronger system and improved mild caries detection; need larger dataset and better generalization</t>
  </si>
  <si>
    <t>Our system performs multi-task (detection + segmentation + prognosis) vs only detection; uses modern YOLOv8 vs Faster R-CNN; provides periodontal analysis; includes XAI</t>
  </si>
  <si>
    <t>Our project lacks real clinical dataset size (1000+ images) and published benchmark accuracy</t>
  </si>
  <si>
    <t>Paper 37</t>
  </si>
  <si>
    <t>Panoramic Radiograph-Based Deep Learning Models for Diagnosis and Clinical Decision Support of Furcation Lesions in Primary Molars</t>
  </si>
  <si>
    <t>Children (MDPI)</t>
  </si>
  <si>
    <t>Nevra Karamüftüoğlu, Ayşe Bulut, Murat Akın, Şeref Sağiroğlu</t>
  </si>
  <si>
    <t>YOLOv12x, RT-DETR-L, RT-DETR-X (transformer-based detector)</t>
  </si>
  <si>
    <t>Private pediatric OPG dataset (Öveçler Oral and Dental Health Clinic, Ankara)</t>
  </si>
  <si>
    <t>387 panoramic radiographs</t>
  </si>
  <si>
    <t>Precision, Recall, mAP@0.5, mAP@0.5–0.95</t>
  </si>
  <si>
    <t>RT-DETR-X: mAP@0.5 = 0.434; Recall = 0.483; Precision = 0.440</t>
  </si>
  <si>
    <t>Stratified split 70/20/10 (train/val/test)</t>
  </si>
  <si>
    <t>Small single-center dataset; modest mAP values; no external validation; no cross-validation</t>
  </si>
  <si>
    <t>Authors state need for larger multi-center datasets and external validation</t>
  </si>
  <si>
    <t>Our system supports caries + periodontal + prognosis vs only furcation lesions; provides segmentation + grading; uses explainability</t>
  </si>
  <si>
    <t>Our project lacks clinical decision mapping to treatment (root canal vs extraction) and pediatric-specific validation</t>
  </si>
  <si>
    <t>Paper 38</t>
  </si>
  <si>
    <t>Unsupervised few shot learning architecture for diagnosis of periodontal disease in dental panoramic radiographs</t>
  </si>
  <si>
    <t>Scientific Reports (Nature)</t>
  </si>
  <si>
    <t>Min Joo Kim, Sun Geu Chae, Suk Joo Bae, Kyung-Gyun Hwang</t>
  </si>
  <si>
    <t>Unsupervised few shot learning architecture for diagnosis of periodontal disease in dental panoramic radiographs | Scientific Reports</t>
  </si>
  <si>
    <t>UNet + CVAE (Convolutional Variational Autoencoder) + k-means / DBSCAN / GMM clustering</t>
  </si>
  <si>
    <t>Tufts Dental Database (TDD); HUSHDD; NMICDD</t>
  </si>
  <si>
    <t>TDD: 1000 images; HUSHDD: 256 images; NMICDD: 116 images (Total = 1372)</t>
  </si>
  <si>
    <t>Accuracy</t>
  </si>
  <si>
    <t>Up to 14% higher accuracy than supervised ViT (exact numeric value not explicitly reported)</t>
  </si>
  <si>
    <t>Cross-dataset validation across 3 datasets</t>
  </si>
  <si>
    <t>Unsupervised clusters still require manual labeling for clinical meaning; no real-time deployment; no bounding box outputs</t>
  </si>
  <si>
    <t>Authors state need for improved interpretability and real-world clinical integration</t>
  </si>
  <si>
    <t>Our system is supervised and provides explicit bounding boxes + segmentation; supports caries + periodontal; produces structured diagnosis</t>
  </si>
  <si>
    <t>Our project depends on labeled data; lacks unsupervised few-shot capability and multi-dataset validation</t>
  </si>
  <si>
    <t>Paper 39</t>
  </si>
  <si>
    <t>Panoramic imaging errors in machine learning model development: a systematic review</t>
  </si>
  <si>
    <t>Dentomaxillofacial Radiology (Oxford Univ. Press)</t>
  </si>
  <si>
    <t>Eduardo Delamare, Xingyue Fu, Zimo Huang, Jinman Kim</t>
  </si>
  <si>
    <t>Panoramic imaging errors in machine learning model development: a systematic review | Dentomaxillofacial Radiology | Oxford Academic</t>
  </si>
  <si>
    <t>Multiple ML/DL models across reviewed studies: CNNs (VGG-16, VGG-19, GoogLeNet Inception-v3), RCNNs, ANN, MLNN</t>
  </si>
  <si>
    <t>41 peer-reviewed PAN-based ML studies (systematic review)</t>
  </si>
  <si>
    <t>Per study: varies; review screened 400 papers → 41 included</t>
  </si>
  <si>
    <t>Not applicable (review)</t>
  </si>
  <si>
    <t>PRISMA systematic review; qualitative synthesis</t>
  </si>
  <si>
    <t>Heterogeneous handling of image quality; inconsistent quality criteria; bias in dataset inclusion/exclusion; lack of standardized PAN quality assessment</t>
  </si>
  <si>
    <t>Need standardized PAN image quality protocols; need prospective studies using DL for automated quality assessment; need to study impact of low-quality inputs on model performance</t>
  </si>
  <si>
    <t>Our project targets disease diagnosis rather than only data quality management and provides clinical outputs (detection, segmentation, prognosis)</t>
  </si>
  <si>
    <t>Our project does not explicitly implement automated PAN quality assessment module</t>
  </si>
  <si>
    <t>Paper 40</t>
  </si>
  <si>
    <t>Automating Dental Condition Detection on Panoramic Radiographs: Challenges, Pitfalls, and Opportunities</t>
  </si>
  <si>
    <t>Diagnostics (MDPI)</t>
  </si>
  <si>
    <t>Sorana Mureșanu, Mihaela Hedeșiu, Liviu Iacob, Radu Eftimie, Eliza Olariu, Cristian Dinu, Reinhilde Jacobs (TEAM Project Group)</t>
  </si>
  <si>
    <t>YOLOv8</t>
  </si>
  <si>
    <t>Private Romanian clinical dataset</t>
  </si>
  <si>
    <t>Internal: 1628 PAN (1375 train, 153 val, 100 test); External: 180 PAN from multiple centers</t>
  </si>
  <si>
    <t>Precision, Recall, F1-score</t>
  </si>
  <si>
    <t>Internal: F1 = 0.60, Recall = 0.657; External: F1 = 0.47, Recall = 0.451</t>
  </si>
  <si>
    <t>Internal train/val/test split + external validation</t>
  </si>
  <si>
    <t>Performance drops significantly on external data; limited generalizability; modest results for bone loss and caries; single detection task (no segmentation)</t>
  </si>
  <si>
    <t>Need larger multi-center datasets; improve generalizability; integrate better clinical decision mapping</t>
  </si>
  <si>
    <t>Our system adds segmentation, severity grading, prognosis, explainability and is multi-task (caries + periodontal)</t>
  </si>
  <si>
    <t>Our project does not yet have external multi-center clinical validation</t>
  </si>
  <si>
    <t>Paper 41</t>
  </si>
  <si>
    <t>Deep Learning in Dental Image Analysis: A Systematic Review of Datasets, Methodologies, and Emerging Challenges</t>
  </si>
  <si>
    <t>arXiv / Survey (comprehensive peer-reviewed style review)</t>
  </si>
  <si>
    <t>Zhenhuan Zhou, Jingbo Zhu, Yuchen Zhang, Xiaohang Guan, Peng Wang, Tao Li</t>
  </si>
  <si>
    <t>[2510.20634] Deep Learning in Dental Image Analysis: A Systematic Review of Datasets, Methodologies, and Emerging Challenges</t>
  </si>
  <si>
    <t>Not reported in paper (review of 211 DL models: CNNs, U-Net variants, Mask R-CNN, YOLO, ViT, etc.)</t>
  </si>
  <si>
    <t>260 studies reviewed; 49 public dental datasets</t>
  </si>
  <si>
    <t>Dataset sizes vary widely (most &lt;10,000 images; PAN most common modality)</t>
  </si>
  <si>
    <t>Systematic multi-database survey (Google Scholar, IEEE, Springer, Elsevier, PubMed)</t>
  </si>
  <si>
    <t>Field lacks large-scale public datasets; most works single-task; strong regional bias (Asia-dominant); lack of multi-disease, clinically validated systems</t>
  </si>
  <si>
    <t>Need multi-task, multi-modal datasets; standardized benchmarks; integration of lesion + anatomical prediction; clinical-grade CAD systems</t>
  </si>
  <si>
    <t>Our system proposes end-to-end multi-disease diagnosis with prognosis and explainability, while most reviewed works are single-task</t>
  </si>
  <si>
    <t>Our project does not yet have large public dataset or benchmark-scale evaluation</t>
  </si>
  <si>
    <t>Paper 42</t>
  </si>
  <si>
    <t>A Reliable Multi-Stage System for Tooth Instance Segmentation and Numbering in Panoramic Radiographs</t>
  </si>
  <si>
    <t>IEEE Journal of Biomedical and Health Informatics</t>
  </si>
  <si>
    <t>Yani Zhang, Yuzhou Yu, Qiankun Li, Huabao Chen, Yuci Liang, Junxin Chen, Jiayue Yin</t>
  </si>
  <si>
    <t>Multi-stage system: MobileNetV3 (supernumerary tooth classifier) + SADP-Net (Mask R-CNN with Swin Transformer backbone, Symmetry-Aware Module, Dual-Branch Pyramid) + YOLOv5 (missing tooth detector)</t>
  </si>
  <si>
    <t>Tufts Dental Dataset; O2PR Dataset; Oral Multi-pathology Dataset</t>
  </si>
  <si>
    <t>Tufts: 1,000 images; O2PR: 1,996 images; Oral Multi-pathology: 1,000 images</t>
  </si>
  <si>
    <t>mAP, AP50, AP75, Accuracy, Recall, F1-score (COCO metrics)</t>
  </si>
  <si>
    <t>Tufts: mAP 66.2%, AP50 97.3%, AP75 85.3%; O2PR: mAP 77.4%, AP50 98.1%, AP75 92.0%</t>
  </si>
  <si>
    <t>Train/Validation/Test split (Tufts: 70/10/20; O2PR: 85/15; Oral dataset: 70/10/20)</t>
  </si>
  <si>
    <t>Nil (no Grad-CAM/attention visualization for interpretability, only architectural symmetry modeling)</t>
  </si>
  <si>
    <t>Limited performance of missing tooth detector (YOLOv5 AP50 only 60.4%); system still computationally heavy; focuses only on segmentation &amp; numbering, not disease diagnosis</t>
  </si>
  <si>
    <t>Authors state future work: improve missing tooth module integration; extend to pediatric/mixed dentition; integrate multimodal data (e.g., intraoral scans); longitudinal analysis</t>
  </si>
  <si>
    <t>Our system performs multi-disease diagnosis (caries + periodontal), not just tooth segmentation/numbering; uses modern YOLOv8 for real-time caries detection; includes severity grading, bone loss estimation, and clinical summary, which this paper does not address</t>
  </si>
  <si>
    <t>This paper has much larger annotated datasets, strong instance segmentation accuracy, and rigorous benchmarking against 11 SOTA models; no clinical disease validation in our project yet</t>
  </si>
  <si>
    <t>Paper 43</t>
  </si>
  <si>
    <t>Clinical application of deep learning for enhanced multistage caries detection in panoramic radiographs</t>
  </si>
  <si>
    <t>Scientific Reports</t>
  </si>
  <si>
    <t>Pornprasertsuk-Damrongsri et al.</t>
  </si>
  <si>
    <t>YOLOv5s (tooth detection) + Attention U-Net (caries segmentation)</t>
  </si>
  <si>
    <t>Private clinical panoramic radiographs with bitewing-confirmed ground truth</t>
  </si>
  <si>
    <t>500 panoramic radiographs; 14,997 teeth; 1,792 caries</t>
  </si>
  <si>
    <t>IoU, Dice, Precision, Recall, F1, Accuracy, Kappa</t>
  </si>
  <si>
    <t>Recall = 0.96; F1 = 0.85; Accuracy = 0.93 (posterior teeth)</t>
  </si>
  <si>
    <t>Train/Validation/Test split; expert radiologist ground truth; Bland-Altman analysis</t>
  </si>
  <si>
    <t>Single-disease focus (caries only); false positives in healthy teeth; no periodontal analysis</t>
  </si>
  <si>
    <t>Authors state need for broader diagnostic coverage and improved enamel-stage detection</t>
  </si>
  <si>
    <t>Our system covers caries + periodontal disease, adds severity grading, prognosis, YOLOv8 upgrade, and XAI visual explanations</t>
  </si>
  <si>
    <t>Larger dataset size and clinical calibration stronger in this paper</t>
  </si>
  <si>
    <t>Paper 44</t>
  </si>
  <si>
    <t>A self-attention based deep learning framework for accurate and efficient dental disease detection in OPG radiographs</t>
  </si>
  <si>
    <t>Bhoopalan et al.</t>
  </si>
  <si>
    <t>A self attention based deep learning framework for accurate and efficient dental disease detection in OPG radiographs | Scientific Reports</t>
  </si>
  <si>
    <t>Vision Transformer (ViT) and Swin Transformer (classification)</t>
  </si>
  <si>
    <t>Oral Dataset (Kaggle, Sajid 2024)</t>
  </si>
  <si>
    <t>5,098 OPG images (4 disease classes used)</t>
  </si>
  <si>
    <t>Accuracy, Precision, Recall, F1, ROC-AUC</t>
  </si>
  <si>
    <t>ViT Accuracy = 96%; Precision = 95.8%; Recall = 96.2%</t>
  </si>
  <si>
    <t>70/15/15 train-val-test split</t>
  </si>
  <si>
    <t>Image-level classification only; no localization or segmentation; no clinical validation</t>
  </si>
  <si>
    <t>Authors mention lack of explainability and need for real-world clinical trials</t>
  </si>
  <si>
    <t>Our system performs detection + segmentation, supports tooth-level outputs, prognosis, and explainability</t>
  </si>
  <si>
    <t>This paper reports higher image-level accuracy on a larger public dataset</t>
  </si>
  <si>
    <t>Paper 45</t>
  </si>
  <si>
    <t>Automated Tooth Segmentation in X-ray Images using Attention Integrated U-Net++ Model</t>
  </si>
  <si>
    <t>IEEE ISACC</t>
  </si>
  <si>
    <t>Yaswanth et al.</t>
  </si>
  <si>
    <t>Attention-integrated U-Net++ with Efficient Channel Attention</t>
  </si>
  <si>
    <t>Tufts Dental Dataset</t>
  </si>
  <si>
    <t>1,000 panoramic radiographs</t>
  </si>
  <si>
    <t>mAP, Dice, IoU</t>
  </si>
  <si>
    <t>mAP = 96.4%; Dice = 90%</t>
  </si>
  <si>
    <t>Standard train-test evaluation on Tufts dataset</t>
  </si>
  <si>
    <t>Only tooth segmentation; no disease detection or grading</t>
  </si>
  <si>
    <t>Authors suggest extending segmentation to diagnostic and clinical decision tasks</t>
  </si>
  <si>
    <t>Our system integrates segmentation + disease detection + prognosis in a single pipeline</t>
  </si>
  <si>
    <t>This paper has stronger tooth mask accuracy</t>
  </si>
  <si>
    <t>Paper 46</t>
  </si>
  <si>
    <t>Orthopantomogram teeth segmentation and numbering dataset</t>
  </si>
  <si>
    <t>Data in Brief (Elsevier)</t>
  </si>
  <si>
    <t>Niha Adnan, Fahad Umer</t>
  </si>
  <si>
    <t>Data Article Orthopantomogram teeth segmentation and numbering dataset</t>
  </si>
  <si>
    <t>U-Net (segmentation) + Faster R-CNN (numbering) (used by authors for demonstration, not core contribution)</t>
  </si>
  <si>
    <t>Orthopantomogram Teeth Segmentation and Numbering Dataset (Zenodo)</t>
  </si>
  <si>
    <t>250 OPG images (permanent dentition only)</t>
  </si>
  <si>
    <t>Expert dentist annotation + second expert verification</t>
  </si>
  <si>
    <t>Small dataset size; no disease annotations (caries, periodontal); resized to 512×512</t>
  </si>
  <si>
    <t>Authors explicitly state need for expansion and annotation of diseases such as decay, fillings, crowns</t>
  </si>
  <si>
    <t>Our system performs disease detection, severity grading, segmentation, prognosis, not just tooth structure</t>
  </si>
  <si>
    <t>This paper provides high-quality expert annotations and numbering, which our project does not contribute as a dataset</t>
  </si>
  <si>
    <t>Paper 47</t>
  </si>
  <si>
    <t>An enhanced deep learning model for detection and classification of dental caries in panoramic radiographs</t>
  </si>
  <si>
    <t>Ozdemir et al.</t>
  </si>
  <si>
    <t>An enhanced deep learning model for detection and classification of dental caries in panoramic radiographs | Neural Computing and Applications</t>
  </si>
  <si>
    <t>DenseNet-121-C (custom classifier head)</t>
  </si>
  <si>
    <t>Private clinical panoramic radiographs</t>
  </si>
  <si>
    <t>14,498 cropped tooth images (2,303 caries / 12,195 non-caries)</t>
  </si>
  <si>
    <t>Accuracy, Precision, Recall, F1-score</t>
  </si>
  <si>
    <t>Accuracy = 93.17%, F1 = 87.49%</t>
  </si>
  <si>
    <t>Train–test evaluation; expert annotations; comparison with Mask R-CNN</t>
  </si>
  <si>
    <t>Binary classification only; no localization on full image; no severity grading; no periodontal analysis</t>
  </si>
  <si>
    <t>Authors explicitly state need for external validation and clinical deployment studies</t>
  </si>
  <si>
    <t>Our system provides localization (YOLOv8), segmentation, severity grading, periodontal bone loss analysis, prognosis, explainability</t>
  </si>
  <si>
    <t>This paper reports high accuracy on a larger cropped dataset</t>
  </si>
  <si>
    <t>S.No</t>
  </si>
  <si>
    <t>Reason</t>
  </si>
  <si>
    <t>Sheet 3 Paper Number</t>
  </si>
  <si>
    <t>Caries (Cavity) Detection &amp; Severity Classification</t>
  </si>
  <si>
    <t>CORE PAPER</t>
  </si>
  <si>
    <t>The study performs direct caries detection using digital panoramic radiographs (OPG). Addresses a clinically challenging scenario (caries under fixed dental prostheses), strengthening its relevance to real-world diagnosis.</t>
  </si>
  <si>
    <t>SUPPORTING PAPER</t>
  </si>
  <si>
    <t xml:space="preserve">Directly addresses dental caries detection using AI / deep learning. </t>
  </si>
  <si>
    <t>This is a systematic review and meta-analysis, which provides high-level evidence on AI accuracy in caries detection. Directly supports your capstone’s primary clinical task and is ideal for benchmarking and evidence synthesis.</t>
  </si>
  <si>
    <t>Task relevance: Performs direct caries segmentation on panoramic radiographs (OPG). However:Focused on pediatric populations only</t>
  </si>
  <si>
    <t>Directly focuses on caries extraction / segmentation using deep learning (U-Net)</t>
  </si>
  <si>
    <t>The paper includes explicit cavity (caries) detection, which is a primary objective of your capstone.
Tooth numbering is present but serves as a supporting function for tooth-level disease analysis—this does not dilute relevance.</t>
  </si>
  <si>
    <t>The paper performs direct dental caries segmentation on panoramic radiographs (OPG).
Strong overlap with your capstone objectives:
disease-focused (caries),
pixel-/tooth-level localization,
panoramic modality,
clinically meaningful output.</t>
  </si>
  <si>
    <t>Content: A systematic review covering caries detection, classification, and segmentation—directly one of your primary capstone objectives.
Although it spans multiple X-ray modalities (not only panoramic), it provides:
comprehensive methodological comparisons,
evaluation metrics and pitfalls,
and clearly stated open challenges that you can map to OPG-based systems.</t>
  </si>
  <si>
    <t>Uses panoramic radiographs (OPG) 
Focuses on dental caries detection 
Employs a two-step deep learning pipeline (e.g., localization → classification), which:
directly overlaps with your caries detection workflow,
is comparable to many state-of-the-art caries systems you are reviewing.
Strong relevance to your capstone’s disease-centric objective, even if severity levels or explainability differ.</t>
  </si>
  <si>
    <t>Modality: Uses panoramic radiographs (OPG) 
Task: Explicitly addresses tooth decay (caries) detection and severity assessment
Overlap with capstone: Strong task alignment with caries severity classification.</t>
  </si>
  <si>
    <t>Modality:
Panoramic radiographs (OPG) 
Ground truth validated using bitewing radiographs (gold standard)
Task alignment (exact match with your capstone)
Caries detection
Multi-stage / severity classification (enamel, dentine, pulp)
Tooth-level analysis 
Segmentation + classification 
System design relevance
Two-stage pipeline:
YOLOv5 → tooth detection
Attention U-Net → caries segmentation
This is directly comparable to your architecture choices and literature framing.</t>
  </si>
  <si>
    <t>Modality: Panoramic radiographs (OPG) 
Task: Explicit dental caries detection and classification 
System overlap: Directly aligns with your capstone’s caries detection + classification objective on OPG</t>
  </si>
  <si>
    <t>Periodontal Disease / Alveolar Bone Loss Analysis</t>
  </si>
  <si>
    <t>The paper directly addresses periodontal disease, alveolar bone loss, and prognostication using panoramic radiographs (OPG) — a strong thematic match.</t>
  </si>
  <si>
    <t>The paper explains the 2018 clinical classification of periodontitis, which is foundational for defining labels, stages, and severity. It is not an AI or imaging paper, so it cannot be core for your survey.</t>
  </si>
  <si>
    <t>This is a systematic review focused on AI-based periodontal bone loss detection from 2D radiographs.</t>
  </si>
  <si>
    <t>Directly addresses alveolar bone loss using panoramic images and AI. Falls squarely under periodontal disease analysis</t>
  </si>
  <si>
    <t xml:space="preserve">This is a systematic review + meta-analysis, providing high-level evidence on:
AI-based periodontal bone loss detection
Periodontitis diagnosis from 2D dental radiographs (includes OPG relevance)
Uses APPRAISE-AI, which strengthens methodological rigor and bias assessment.                                                                                    </t>
  </si>
  <si>
    <t>The paper proposes a polyfit-based method to assess alveolar bone loss from panoramic radiographs.
However:
Method is non–deep learning / traditional curve-fitting
No end-to-end AI pipeline</t>
  </si>
  <si>
    <t>Paper can be used for Capstone Implentation Background Study</t>
  </si>
  <si>
    <t>The paper evaluates an AI-based tool for alveolar bone loss measurement, but:
Focuses mainly on dentist evaluation / usability
Limited detail on model architecture, multi-task learning, or automation depth
It supports clinical acceptance and validation, not core algorithmic advances.</t>
  </si>
  <si>
    <t>The paper evaluates a machine learning model for periodontal bone loss measurement, which is clearly relevant.
However:
Focus is on efficacy evaluation, not on proposing a novel, end-to-end, multi-task deep learning system
Limited emphasis on severity staging</t>
  </si>
  <si>
    <t>Background Study Paper</t>
  </si>
  <si>
    <t>Directly targets periodontal bone loss segmentation on panoramic radiographs (OPG).
However:
Focus is on image enhancement (super-resolution) improving segmentation, not a unified end-to-end, multi-task diagnostic system.</t>
  </si>
  <si>
    <t>Even though the paper topic (periodontal disease + deep learning) is highly relevant, journal credibility fails, which is a hard exclusion criterion for your literature review.</t>
  </si>
  <si>
    <t>The paper performs periodontal disease classification using dental radiographs, which matches one of your core clinical tasks.</t>
  </si>
  <si>
    <t>Uses panoramic radiographs (OPG) and deep learning for diagnosing furcation lesions, which are a periodontal bone–related condition.
However:
Focus is narrow (primary molars only)
Does not provide general alveolar bone loss quantification or staging
Limited relevance to a unified, multi-task caries + periodontal framework</t>
  </si>
  <si>
    <t>Method focus: Emphasizes unsupervised / few-shot learning, which is valuable for limited-label scenarios, but:
Typically focuses on classification, not explicit alveolar bone loss quantification
Does not provide CEJ–bone crest measurement, staging, or explainability
Not a unified multi-task pipeline</t>
  </si>
  <si>
    <t>Deep Learning for Staging Periodontitis Using Panoramic Radiographs</t>
  </si>
  <si>
    <t>Uses panoramic radiographs (OPG)
Performs periodontitis staging 
Directly overlaps with your capstone’s periodontal disease severity assessment objective.
Strong alignment with system outputs (automated staging / severity), even if the exact method differs.</t>
  </si>
  <si>
    <t>pdf unavailable</t>
  </si>
  <si>
    <t>Multi-task / End-to-End OPG Disease Diagnosis</t>
  </si>
  <si>
    <t>Joint detection of dental diseases with panoramic imaging system via multi-task context integration network - ScienceDirect</t>
  </si>
  <si>
    <t>Performs joint detection of dental diseases from panoramic radiographs (OPG). Directly aligns with your capstone focus on cavity detection and periodontal disease analysis using a multi-task framework.</t>
  </si>
  <si>
    <t>DPML: Prior-guided multitask learning for dental object recognition on limited panoramic radiograph dataset - ScienceDirect</t>
  </si>
  <si>
    <t>Uses panoramic radiographs and multi-task learning, which is methodologically relevant.Does NOT perform cavity (caries) detection or periodontal disease analysis, so it cannot be core for your disease-centric capstone.</t>
  </si>
  <si>
    <t>Uses panoramic dental X-rays and performs detection + segmentation + enumeration using YOLO.</t>
  </si>
  <si>
    <t>Addresses both dental caries and periodontitis, which matches your clinical focus.
However: Modality ambiguity (dental X-ray images not clearly limited to panoramic/OPG)</t>
  </si>
  <si>
    <t>Modality: OPG (panoramic radiographs) 
Method: Uses self-attention, relevant to modern architectures and efficiency.</t>
  </si>
  <si>
    <t>Modality: Panoramic X-rays (OPG) 
Task: Automated diagnosis of dental conditions using ensemble deep learning</t>
  </si>
  <si>
    <t>he paper discusses panoramic radiograph–based AI broadly, focusing on:
challenges and pitfalls (image quality, bias, annotation issues),
opportunities for improvement in automated dental diagnosis.</t>
  </si>
  <si>
    <t>The paper focuses on combining public datasets and automated tooth assessment, which is mainly about data integration, benchmarking, and validation. It does not primarily target caries detection or periodontal disease analysis, but it is important for robust dataset construction and evaluation, which directly supports disease-focused models.</t>
  </si>
  <si>
    <t>Explainable AI for Dental Disease Diagnosis</t>
  </si>
  <si>
    <t>Datasets, Benchmarks &amp; Clinical Validation (OPG)</t>
  </si>
  <si>
    <t>Focuses on image quality assessment, not direct caries or periodontal disease detection. Still relevant as poor-quality OPGs strongly affect disease diagnosis performance, so it supports dataset curation and validation aspects.</t>
  </si>
  <si>
    <t>Focuses on GAN-based data augmentation for panoramic radiographs (OPG). Contribution is indirect—improving training data diversity rather than disease diagnosis.</t>
  </si>
  <si>
    <t>Does not directly perform caries detection or periodontal bone loss analysis, but is crucial for:
understanding sources of error,
bias and generalization issues,
limitations impacting disease-detection performance.</t>
  </si>
  <si>
    <t>Towards accurate occlusal plane positioning in panoramic radiographs: a deep learning-assisted study | Oral Radiology</t>
  </si>
  <si>
    <t>Direct preprocessing relevance: occlusal plane errors significantly affect diagnostic reliability of caries and periodontal assessment in OPGs.</t>
  </si>
  <si>
    <t>BackGround Study Paper</t>
  </si>
  <si>
    <t>41`</t>
  </si>
  <si>
    <t>Tooth Segmentation &amp; Numbering</t>
  </si>
  <si>
    <t>Comprehensive systematic review of tooth detection and segmentation on panoramic radiographs. Does not directly address caries detection or periodontal disease, but is valuable for tooth-level disease localization background.</t>
  </si>
  <si>
    <t>Focuses on tooth instance segmentation and numbering in OPGs
Does not directly detect caries or periodontal disease
Useful as an enabling step for tooth-level disease analysis</t>
  </si>
  <si>
    <t>Enabling relevance: Tooth segmentation is a supporting step for tooth-level caries and periodontal analysis in OPG workflows.</t>
  </si>
  <si>
    <t>Enabling relevance: Tooth-level segmentation and numbering datasets are important enablers for:
tooth-wise caries analysis,
localized periodontal assessment in OPG-based systems.</t>
  </si>
  <si>
    <t>sno</t>
  </si>
  <si>
    <t>Journal_Score</t>
  </si>
  <si>
    <t>Dataset_Score</t>
  </si>
  <si>
    <t>Model_Score</t>
  </si>
  <si>
    <t>Task_Alignment_Score</t>
  </si>
  <si>
    <t>Experimental_Quality_Score</t>
  </si>
  <si>
    <t>Final_Global_Score</t>
  </si>
  <si>
    <t>Category_Weighted_Score</t>
  </si>
  <si>
    <t xml:space="preserve">    </t>
  </si>
  <si>
    <t xml:space="preserve">C1 – Caries Detection &amp; Severity </t>
  </si>
  <si>
    <t xml:space="preserve">C1 – Caries Detection &amp; Severity  </t>
  </si>
  <si>
    <t xml:space="preserve">C2 – Periodontal Disease &amp; Bone Loss </t>
  </si>
  <si>
    <t xml:space="preserve"> C2 – Periodontal Disease &amp; Bone Loss </t>
  </si>
  <si>
    <t>2024 (Article in Press)</t>
  </si>
  <si>
    <t>Yeong-Su Lim, Dohyun Chun, Jihun Kim, Jong-yeol Lee, Myeong Jin Ju, Jae Hyung Park, Hee-Jae Jeon</t>
  </si>
  <si>
    <t xml:space="preserve"> C6 – Tooth Segmentation &amp; Numbering</t>
  </si>
  <si>
    <t>Count</t>
  </si>
  <si>
    <t>Standardized Journal</t>
  </si>
  <si>
    <t>MDPI Journals</t>
  </si>
  <si>
    <t>IEEE</t>
  </si>
  <si>
    <t>Elsevier Journals</t>
  </si>
  <si>
    <t>Springer Journals</t>
  </si>
  <si>
    <t>C4 - Explainable AI for Dental Disease Diagnosis</t>
  </si>
  <si>
    <t>Dentomaxillofacial Radiology</t>
  </si>
  <si>
    <t>Frontiers Journals</t>
  </si>
  <si>
    <t>PLoS Journals</t>
  </si>
  <si>
    <t>Scientific Reports (Nature Portfolio)</t>
  </si>
  <si>
    <t>arxiv</t>
  </si>
  <si>
    <t>arxiv / survey</t>
  </si>
  <si>
    <t>head &amp; face medicine</t>
  </si>
  <si>
    <t>icbip 2024 – international conference on biomedical signal and image processing</t>
  </si>
  <si>
    <t>imaging science in dentistry</t>
  </si>
  <si>
    <t>informatica medica slovenica</t>
  </si>
  <si>
    <t>the journal of prosthetic dentistry</t>
  </si>
  <si>
    <t>Weighted_Contribution_Score</t>
  </si>
  <si>
    <t>Category_Short</t>
  </si>
  <si>
    <t>Large (&gt;1000)</t>
  </si>
  <si>
    <t>Medium (300-1000)</t>
  </si>
  <si>
    <t>Small (&lt;300)</t>
  </si>
  <si>
    <t>C1: Caries Detection</t>
  </si>
  <si>
    <t>C2: Periodontal Disease</t>
  </si>
  <si>
    <t>C3: Multi-task/End-to-End</t>
  </si>
  <si>
    <t>Model_Families</t>
  </si>
  <si>
    <t>Weighted_Contribution</t>
  </si>
  <si>
    <t>Hybrid / Multi-task Models</t>
  </si>
  <si>
    <t>YOLO-based Detectors</t>
  </si>
  <si>
    <t>U-Net / Segmentation Models</t>
  </si>
  <si>
    <t>CNN Classifiers/Backbones</t>
  </si>
  <si>
    <t>Transformer-based Models</t>
  </si>
  <si>
    <t>Model_Category</t>
  </si>
  <si>
    <t>General CNN/Architecture</t>
  </si>
  <si>
    <t>Other Models</t>
  </si>
  <si>
    <t>R-CNN Family (Faster/Mask)</t>
  </si>
  <si>
    <t>ResNet Family</t>
  </si>
  <si>
    <t>VGG Family</t>
  </si>
  <si>
    <t>YOLO Family (v5, v7, v8, v9, etc.)</t>
  </si>
  <si>
    <t>U-Net Family</t>
  </si>
  <si>
    <t>YOLO Segmentation</t>
  </si>
  <si>
    <t>Other Explicit Segmentation</t>
  </si>
  <si>
    <t>R-CNN Segmentation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</si>
</sst>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b/>
      <u/>
      <sz val="12.0"/>
      <color rgb="FF0000FF"/>
      <name val="&quot;Times New Roman&quot;"/>
    </font>
    <font>
      <b/>
      <u/>
      <color rgb="FF0000FF"/>
    </font>
    <font>
      <b/>
      <u/>
      <sz val="11.0"/>
      <color rgb="FF1155CC"/>
      <name val="Arial"/>
    </font>
    <font>
      <b/>
      <u/>
      <sz val="11.0"/>
      <color rgb="FF0000FF"/>
    </font>
    <font>
      <b/>
      <u/>
      <sz val="11.0"/>
      <color rgb="FF0000FF"/>
    </font>
    <font>
      <b/>
      <sz val="11.0"/>
      <color theme="1"/>
      <name val="Arial"/>
      <scheme val="minor"/>
    </font>
    <font>
      <sz val="11.0"/>
      <color theme="1"/>
      <name val="Arial"/>
      <scheme val="minor"/>
    </font>
    <font>
      <b/>
      <sz val="11.0"/>
      <color theme="1"/>
      <name val="Calibri"/>
    </font>
    <font>
      <sz val="11.0"/>
      <color theme="1"/>
      <name val="Calibri"/>
    </font>
    <font>
      <sz val="10.0"/>
      <color theme="1"/>
      <name val="Arial"/>
      <scheme val="minor"/>
    </font>
    <font>
      <color rgb="FF1F1F1F"/>
      <name val="Roboto Mono"/>
    </font>
  </fonts>
  <fills count="18">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7F6000"/>
        <bgColor rgb="FF7F6000"/>
      </patternFill>
    </fill>
    <fill>
      <patternFill patternType="solid">
        <fgColor rgb="FFCC0000"/>
        <bgColor rgb="FFCC0000"/>
      </patternFill>
    </fill>
    <fill>
      <patternFill patternType="solid">
        <fgColor rgb="FF00FF00"/>
        <bgColor rgb="FF00FF00"/>
      </patternFill>
    </fill>
    <fill>
      <patternFill patternType="solid">
        <fgColor rgb="FFE6B8AF"/>
        <bgColor rgb="FFE6B8AF"/>
      </patternFill>
    </fill>
    <fill>
      <patternFill patternType="solid">
        <fgColor rgb="FF76A5AF"/>
        <bgColor rgb="FF76A5AF"/>
      </patternFill>
    </fill>
    <fill>
      <patternFill patternType="solid">
        <fgColor rgb="FFFF0000"/>
        <bgColor rgb="FFFF0000"/>
      </patternFill>
    </fill>
    <fill>
      <patternFill patternType="solid">
        <fgColor rgb="FFEA9999"/>
        <bgColor rgb="FFEA9999"/>
      </patternFill>
    </fill>
    <fill>
      <patternFill patternType="solid">
        <fgColor rgb="FF6FA8DC"/>
        <bgColor rgb="FF6FA8DC"/>
      </patternFill>
    </fill>
    <fill>
      <patternFill patternType="solid">
        <fgColor rgb="FFF6B26B"/>
        <bgColor rgb="FFF6B26B"/>
      </patternFill>
    </fill>
    <fill>
      <patternFill patternType="solid">
        <fgColor rgb="FFFFF2CC"/>
        <bgColor rgb="FFFFF2CC"/>
      </patternFill>
    </fill>
    <fill>
      <patternFill patternType="solid">
        <fgColor rgb="FF3C78D8"/>
        <bgColor rgb="FF3C78D8"/>
      </patternFill>
    </fill>
    <fill>
      <patternFill patternType="solid">
        <fgColor rgb="FFA61C00"/>
        <bgColor rgb="FFA61C00"/>
      </patternFill>
    </fill>
    <fill>
      <patternFill patternType="solid">
        <fgColor rgb="FF00FFFF"/>
        <bgColor rgb="FF00FFFF"/>
      </patternFill>
    </fill>
    <fill>
      <patternFill patternType="solid">
        <fgColor rgb="FFF0F4F9"/>
        <bgColor rgb="FFF0F4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shrinkToFit="0" wrapText="1"/>
    </xf>
    <xf borderId="0" fillId="3" fontId="2" numFmtId="0" xfId="0" applyAlignment="1" applyFill="1" applyFont="1">
      <alignment readingOrder="0" shrinkToFit="0" wrapText="1"/>
    </xf>
    <xf borderId="0" fillId="4" fontId="2" numFmtId="0" xfId="0" applyAlignment="1" applyFill="1" applyFont="1">
      <alignment readingOrder="0" shrinkToFit="0" wrapText="1"/>
    </xf>
    <xf borderId="0" fillId="0" fontId="5" numFmtId="0" xfId="0" applyAlignment="1" applyFont="1">
      <alignment horizontal="center" shrinkToFit="0" wrapText="1"/>
    </xf>
    <xf borderId="0" fillId="2" fontId="2" numFmtId="0" xfId="0" applyAlignment="1" applyFont="1">
      <alignment readingOrder="0" shrinkToFit="0" wrapText="1"/>
    </xf>
    <xf borderId="0" fillId="5" fontId="2" numFmtId="0" xfId="0" applyAlignment="1" applyFill="1" applyFont="1">
      <alignment readingOrder="0" shrinkToFit="0" wrapText="1"/>
    </xf>
    <xf borderId="0" fillId="6" fontId="2" numFmtId="0" xfId="0" applyAlignment="1" applyFill="1" applyFont="1">
      <alignment readingOrder="0" shrinkToFit="0" wrapText="1"/>
    </xf>
    <xf borderId="0" fillId="0" fontId="6" numFmtId="0" xfId="0" applyAlignment="1" applyFont="1">
      <alignment horizontal="center" readingOrder="0" shrinkToFit="0" vertical="center" wrapText="1"/>
    </xf>
    <xf borderId="0" fillId="0" fontId="1" numFmtId="0" xfId="0" applyFont="1"/>
    <xf borderId="0" fillId="0" fontId="2" numFmtId="0" xfId="0" applyAlignment="1" applyFont="1">
      <alignment horizontal="right"/>
    </xf>
    <xf borderId="0" fillId="2" fontId="7" numFmtId="0" xfId="0" applyAlignment="1" applyFont="1">
      <alignment horizontal="center" readingOrder="0" shrinkToFit="0" vertical="center" wrapText="1"/>
    </xf>
    <xf borderId="0" fillId="2" fontId="8" numFmtId="0" xfId="0" applyAlignment="1" applyFont="1">
      <alignment horizontal="center" readingOrder="0" shrinkToFit="0" vertical="center" wrapText="1"/>
    </xf>
    <xf borderId="0" fillId="2" fontId="8" numFmtId="0" xfId="0" applyAlignment="1" applyFont="1">
      <alignment horizontal="center" shrinkToFit="0" vertical="center" wrapText="1"/>
    </xf>
    <xf borderId="0" fillId="2" fontId="8" numFmtId="0" xfId="0" applyAlignment="1" applyFont="1">
      <alignment horizontal="center" readingOrder="0" vertical="center"/>
    </xf>
    <xf borderId="0" fillId="0" fontId="9" numFmtId="0" xfId="0" applyAlignment="1" applyFont="1">
      <alignment shrinkToFit="0" wrapText="1"/>
    </xf>
    <xf borderId="0" fillId="0" fontId="8" numFmtId="0" xfId="0" applyAlignment="1" applyFont="1">
      <alignment horizontal="center" readingOrder="0" shrinkToFit="0" vertical="center" wrapText="1"/>
    </xf>
    <xf borderId="0" fillId="7" fontId="8" numFmtId="0" xfId="0" applyAlignment="1" applyFill="1" applyFont="1">
      <alignment horizontal="center" readingOrder="0" shrinkToFit="0" vertical="center" wrapText="1"/>
    </xf>
    <xf borderId="0" fillId="0" fontId="9" numFmtId="0" xfId="0" applyAlignment="1" applyFont="1">
      <alignment readingOrder="0" shrinkToFit="0" wrapText="1"/>
    </xf>
    <xf borderId="0" fillId="0" fontId="8" numFmtId="0" xfId="0" applyAlignment="1" applyFont="1">
      <alignment horizontal="center" readingOrder="0" vertical="center"/>
    </xf>
    <xf borderId="0" fillId="0" fontId="2" numFmtId="0" xfId="0" applyAlignment="1" applyFont="1">
      <alignment shrinkToFit="0" vertical="center" wrapText="1"/>
    </xf>
    <xf borderId="0" fillId="8" fontId="8" numFmtId="0" xfId="0" applyAlignment="1" applyFill="1" applyFont="1">
      <alignment horizontal="center" readingOrder="0" shrinkToFit="0" vertical="center" wrapText="1"/>
    </xf>
    <xf borderId="0" fillId="9" fontId="8" numFmtId="0" xfId="0" applyAlignment="1" applyFill="1" applyFont="1">
      <alignment horizontal="center" shrinkToFit="0" vertical="center" wrapText="1"/>
    </xf>
    <xf borderId="0" fillId="9" fontId="9" numFmtId="0" xfId="0" applyAlignment="1" applyFont="1">
      <alignment shrinkToFit="0" wrapText="1"/>
    </xf>
    <xf borderId="0" fillId="9" fontId="8" numFmtId="0" xfId="0" applyAlignment="1" applyFont="1">
      <alignment horizontal="center" vertical="center"/>
    </xf>
    <xf borderId="0" fillId="0" fontId="9" numFmtId="0" xfId="0" applyAlignment="1" applyFont="1">
      <alignment readingOrder="0"/>
    </xf>
    <xf borderId="0" fillId="3" fontId="8" numFmtId="0" xfId="0" applyAlignment="1" applyFont="1">
      <alignment horizontal="center" readingOrder="0" vertical="center"/>
    </xf>
    <xf borderId="0" fillId="9" fontId="1"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6" fontId="2" numFmtId="0" xfId="0" applyFont="1"/>
    <xf borderId="0" fillId="9" fontId="8" numFmtId="0" xfId="0" applyAlignment="1" applyFont="1">
      <alignment horizontal="center" readingOrder="0" shrinkToFit="0" vertical="center" wrapText="1"/>
    </xf>
    <xf borderId="0" fillId="6" fontId="8" numFmtId="0" xfId="0" applyAlignment="1" applyFont="1">
      <alignment horizontal="center" readingOrder="0" shrinkToFit="0" vertical="center" wrapText="1"/>
    </xf>
    <xf borderId="0" fillId="6" fontId="8" numFmtId="0" xfId="0" applyAlignment="1" applyFont="1">
      <alignment horizontal="center" readingOrder="0" vertical="center"/>
    </xf>
    <xf borderId="0" fillId="0" fontId="8" numFmtId="0" xfId="0" applyAlignment="1" applyFont="1">
      <alignment readingOrder="0" shrinkToFit="0" wrapText="1"/>
    </xf>
    <xf borderId="0" fillId="0" fontId="8" numFmtId="0" xfId="0" applyAlignment="1" applyFont="1">
      <alignment horizontal="center" shrinkToFit="0" vertical="center" wrapText="1"/>
    </xf>
    <xf borderId="0" fillId="0" fontId="8" numFmtId="0" xfId="0" applyAlignment="1" applyFont="1">
      <alignment horizontal="center" vertical="center"/>
    </xf>
    <xf borderId="0" fillId="10" fontId="8" numFmtId="0" xfId="0" applyAlignment="1" applyFill="1" applyFont="1">
      <alignment horizontal="center" readingOrder="0" shrinkToFit="0" vertical="center" wrapText="1"/>
    </xf>
    <xf borderId="0" fillId="11" fontId="8" numFmtId="0" xfId="0" applyAlignment="1" applyFill="1" applyFont="1">
      <alignment horizontal="center" readingOrder="0" shrinkToFit="0" vertical="center" wrapText="1"/>
    </xf>
    <xf borderId="0" fillId="12" fontId="8" numFmtId="0" xfId="0" applyAlignment="1" applyFill="1" applyFont="1">
      <alignment horizontal="center" readingOrder="0" shrinkToFit="0" vertical="center" wrapText="1"/>
    </xf>
    <xf borderId="0" fillId="13" fontId="8" numFmtId="0" xfId="0" applyAlignment="1" applyFill="1" applyFont="1">
      <alignment horizontal="center" readingOrder="0" shrinkToFit="0" vertical="center" wrapText="1"/>
    </xf>
    <xf borderId="0" fillId="14" fontId="8" numFmtId="0" xfId="0" applyAlignment="1" applyFill="1" applyFont="1">
      <alignment horizontal="center" readingOrder="0" shrinkToFit="0" vertical="center" wrapText="1"/>
    </xf>
    <xf borderId="0" fillId="15" fontId="8"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1" fillId="16" fontId="10" numFmtId="0" xfId="0" applyAlignment="1" applyBorder="1" applyFill="1" applyFont="1">
      <alignment horizontal="center" shrinkToFit="0" vertical="top" wrapText="1"/>
    </xf>
    <xf borderId="0" fillId="0" fontId="11" numFmtId="0" xfId="0" applyAlignment="1" applyFont="1">
      <alignment horizontal="right" shrinkToFit="0" vertical="bottom" wrapText="1"/>
    </xf>
    <xf borderId="0" fillId="0" fontId="11" numFmtId="0" xfId="0" applyAlignment="1" applyFont="1">
      <alignment shrinkToFit="0" vertical="bottom" wrapText="1"/>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Font="1"/>
    <xf borderId="0" fillId="0" fontId="12" numFmtId="0" xfId="0" applyAlignment="1" applyFont="1">
      <alignment horizontal="center" readingOrder="0" shrinkToFit="0" vertical="center" wrapText="1"/>
    </xf>
    <xf borderId="0" fillId="17" fontId="13" numFmtId="0" xfId="0" applyAlignment="1" applyFill="1" applyFont="1">
      <alignment shrinkToFit="0"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2">
    <tableStyle count="4" pivot="0" name="Sheet6-style">
      <tableStyleElement dxfId="1" type="headerRow"/>
      <tableStyleElement dxfId="2" type="firstRowStripe"/>
      <tableStyleElement dxfId="3" type="secondRowStripe"/>
      <tableStyleElement dxfId="4" size="0" type="wholeTable"/>
    </tableStyle>
    <tableStyle count="4" pivot="0" name="Sheet6-style 2">
      <tableStyleElement dxfId="1" type="headerRow"/>
      <tableStyleElement dxfId="2" type="firstRowStripe"/>
      <tableStyleElement dxfId="3" type="secondRowStripe"/>
      <tableStyleElement dxfId="4" size="0" type="wholeTable"/>
    </tableStyle>
    <tableStyle count="4" pivot="0" name="Number of Publications by Stand-style">
      <tableStyleElement dxfId="1" type="headerRow"/>
      <tableStyleElement dxfId="2" type="firstRowStripe"/>
      <tableStyleElement dxfId="3" type="secondRowStripe"/>
      <tableStyleElement dxfId="4" size="0" type="wholeTable"/>
    </tableStyle>
    <tableStyle count="4" pivot="0" name="Number of Publications by Stand-style 2">
      <tableStyleElement dxfId="1" type="headerRow"/>
      <tableStyleElement dxfId="2" type="firstRowStripe"/>
      <tableStyleElement dxfId="3" type="secondRowStripe"/>
      <tableStyleElement dxfId="4" size="0" type="wholeTable"/>
    </tableStyle>
    <tableStyle count="4" pivot="0" name=" Top Datasets by Weighted Contr-style">
      <tableStyleElement dxfId="1" type="headerRow"/>
      <tableStyleElement dxfId="2" type="firstRowStripe"/>
      <tableStyleElement dxfId="3" type="secondRowStripe"/>
      <tableStyleElement dxfId="4" size="0" type="wholeTable"/>
    </tableStyle>
    <tableStyle count="4" pivot="0" name=" Weighted Evidence Distribution-style">
      <tableStyleElement dxfId="1" type="headerRow"/>
      <tableStyleElement dxfId="2" type="firstRowStripe"/>
      <tableStyleElement dxfId="3" type="secondRowStripe"/>
      <tableStyleElement dxfId="4" size="0" type="wholeTable"/>
    </tableStyle>
    <tableStyle count="4" pivot="0" name=" Weighted Contribution of Model-style">
      <tableStyleElement dxfId="1" type="headerRow"/>
      <tableStyleElement dxfId="2" type="firstRowStripe"/>
      <tableStyleElement dxfId="3" type="secondRowStripe"/>
      <tableStyleElement dxfId="4" size="0" type="wholeTable"/>
    </tableStyle>
    <tableStyle count="4" pivot="0" name=" Model Family Weighted Contribu-style">
      <tableStyleElement dxfId="1" type="headerRow"/>
      <tableStyleElement dxfId="2" type="firstRowStripe"/>
      <tableStyleElement dxfId="3" type="secondRowStripe"/>
      <tableStyleElement dxfId="4" size="0" type="wholeTable"/>
    </tableStyle>
    <tableStyle count="4" pivot="0" name="Sheet9-style">
      <tableStyleElement dxfId="1" type="headerRow"/>
      <tableStyleElement dxfId="2" type="firstRowStripe"/>
      <tableStyleElement dxfId="3" type="secondRowStripe"/>
      <tableStyleElement dxfId="4" size="0" type="wholeTable"/>
    </tableStyle>
    <tableStyle count="4" pivot="0" name="Model Family Weighted Contribut-style">
      <tableStyleElement dxfId="1" type="headerRow"/>
      <tableStyleElement dxfId="2" type="firstRowStripe"/>
      <tableStyleElement dxfId="3" type="secondRowStripe"/>
      <tableStyleElement dxfId="4" size="0" type="wholeTable"/>
    </tableStyle>
    <tableStyle count="4" pivot="0" name="Chart1 Distribution of Model Fa-style">
      <tableStyleElement dxfId="1" type="headerRow"/>
      <tableStyleElement dxfId="2" type="firstRowStripe"/>
      <tableStyleElement dxfId="3" type="secondRowStripe"/>
      <tableStyleElement dxfId="4" size="0" type="wholeTable"/>
    </tableStyle>
    <tableStyle count="4" pivot="0" name="Chart1 Frequency of Explicit S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Roboto"/>
              </a:defRPr>
            </a:pPr>
            <a:r>
              <a:rPr b="1">
                <a:solidFill>
                  <a:srgbClr val="444746"/>
                </a:solidFill>
                <a:latin typeface="Roboto"/>
              </a:rPr>
              <a:t>Year of Publication</a:t>
            </a:r>
          </a:p>
        </c:rich>
      </c:tx>
      <c:overlay val="0"/>
    </c:title>
    <c:view3D>
      <c:rotX val="15"/>
      <c:rotY val="20"/>
      <c:depthPercent val="100"/>
      <c:rAngAx val="1"/>
    </c:view3D>
    <c:plotArea>
      <c:layout/>
      <c:bar3DChart>
        <c:barDir val="col"/>
        <c:grouping val="clustered"/>
        <c:ser>
          <c:idx val="0"/>
          <c:order val="0"/>
          <c:tx>
            <c:strRef>
              <c:f>Sheet6!$B$6</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Sheet6!$A$7:$A$11</c:f>
            </c:strRef>
          </c:cat>
          <c:val>
            <c:numRef>
              <c:f>Sheet6!$B$7:$B$11</c:f>
              <c:numCache/>
            </c:numRef>
          </c:val>
        </c:ser>
        <c:axId val="277992528"/>
        <c:axId val="1652472387"/>
      </c:bar3DChart>
      <c:catAx>
        <c:axId val="277992528"/>
        <c:scaling>
          <c:orientation val="minMax"/>
        </c:scaling>
        <c:delete val="0"/>
        <c:axPos val="b"/>
        <c:title>
          <c:tx>
            <c:rich>
              <a:bodyPr/>
              <a:lstStyle/>
              <a:p>
                <a:pPr lvl="0">
                  <a:defRPr b="1">
                    <a:solidFill>
                      <a:srgbClr val="000000"/>
                    </a:solidFill>
                    <a:latin typeface="+mn-lt"/>
                  </a:defRPr>
                </a:pPr>
                <a:r>
                  <a:rPr b="1">
                    <a:solidFill>
                      <a:srgbClr val="000000"/>
                    </a:solidFill>
                    <a:latin typeface="+mn-lt"/>
                  </a:rPr>
                  <a:t>Year</a:t>
                </a:r>
              </a:p>
            </c:rich>
          </c:tx>
          <c:overlay val="0"/>
        </c:title>
        <c:numFmt formatCode="General" sourceLinked="1"/>
        <c:majorTickMark val="none"/>
        <c:minorTickMark val="none"/>
        <c:spPr/>
        <c:txPr>
          <a:bodyPr/>
          <a:lstStyle/>
          <a:p>
            <a:pPr lvl="0">
              <a:defRPr b="1">
                <a:solidFill>
                  <a:srgbClr val="000000"/>
                </a:solidFill>
                <a:latin typeface="+mn-lt"/>
              </a:defRPr>
            </a:pPr>
          </a:p>
        </c:txPr>
        <c:crossAx val="1652472387"/>
      </c:catAx>
      <c:valAx>
        <c:axId val="1652472387"/>
        <c:scaling>
          <c:orientation val="minMax"/>
        </c:scaling>
        <c:delete val="0"/>
        <c:axPos val="l"/>
        <c:majorGridlines>
          <c:spPr>
            <a:ln>
              <a:solidFill>
                <a:srgbClr val="B7B7B7"/>
              </a:solidFill>
            </a:ln>
          </c:spPr>
        </c:majorGridlines>
        <c:title>
          <c:tx>
            <c:rich>
              <a:bodyPr/>
              <a:lstStyle/>
              <a:p>
                <a:pPr lvl="0">
                  <a:defRPr b="1">
                    <a:solidFill>
                      <a:srgbClr val="000000"/>
                    </a:solidFill>
                    <a:latin typeface="+mn-lt"/>
                  </a:defRPr>
                </a:pPr>
                <a:r>
                  <a:rPr b="1">
                    <a:solidFill>
                      <a:srgbClr val="000000"/>
                    </a:solidFill>
                    <a:latin typeface="+mn-lt"/>
                  </a:rPr>
                  <a:t>Number of Papers</a:t>
                </a:r>
              </a:p>
            </c:rich>
          </c:tx>
          <c:overlay val="0"/>
        </c:title>
        <c:numFmt formatCode="General" sourceLinked="1"/>
        <c:majorTickMark val="none"/>
        <c:minorTickMark val="none"/>
        <c:tickLblPos val="nextTo"/>
        <c:spPr>
          <a:ln/>
        </c:spPr>
        <c:txPr>
          <a:bodyPr/>
          <a:lstStyle/>
          <a:p>
            <a:pPr lvl="0">
              <a:defRPr b="1">
                <a:solidFill>
                  <a:srgbClr val="000000"/>
                </a:solidFill>
                <a:latin typeface="+mn-lt"/>
              </a:defRPr>
            </a:pPr>
          </a:p>
        </c:txPr>
        <c:crossAx val="277992528"/>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1"/>
            <c:showCatName val="0"/>
            <c:showSerName val="0"/>
            <c:showPercent val="0"/>
            <c:showBubbleSize val="0"/>
            <c:showLeaderLines val="1"/>
          </c:dLbls>
          <c:cat>
            <c:strRef>
              <c:f>Sheet6!$H$7:$H$12</c:f>
            </c:strRef>
          </c:cat>
          <c:val>
            <c:numRef>
              <c:f>Sheet6!$I$7:$I$12</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Roboto"/>
            </a:defRPr>
          </a:pPr>
        </a:p>
      </c:txPr>
    </c:legend>
    <c:plotVisOnly val="1"/>
  </c:chart>
  <c:spPr>
    <a:solidFill>
      <a:srgbClr val="F3F3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Number of Publications by Standardized Journal/Conference</a:t>
            </a:r>
          </a:p>
        </c:rich>
      </c:tx>
      <c:overlay val="0"/>
    </c:title>
    <c:plotArea>
      <c:layout/>
      <c:barChart>
        <c:barDir val="col"/>
        <c:ser>
          <c:idx val="0"/>
          <c:order val="0"/>
          <c:tx>
            <c:strRef>
              <c:f>'Number of Publications by Stand'!$B$10</c:f>
            </c:strRef>
          </c:tx>
          <c:spPr>
            <a:solidFill>
              <a:schemeClr val="accent1"/>
            </a:solidFill>
            <a:ln cmpd="sng">
              <a:solidFill>
                <a:srgbClr val="000000"/>
              </a:solidFill>
            </a:ln>
          </c:spPr>
          <c:cat>
            <c:strRef>
              <c:f>'Number of Publications by Stand'!$A$11:$A$27</c:f>
            </c:strRef>
          </c:cat>
          <c:val>
            <c:numRef>
              <c:f>'Number of Publications by Stand'!$B$11:$B$27</c:f>
              <c:numCache/>
            </c:numRef>
          </c:val>
        </c:ser>
        <c:axId val="1201117543"/>
        <c:axId val="2108729492"/>
      </c:barChart>
      <c:catAx>
        <c:axId val="12011175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Standardized Journal/Conference</a:t>
                </a:r>
              </a:p>
            </c:rich>
          </c:tx>
          <c:overlay val="0"/>
        </c:title>
        <c:numFmt formatCode="General" sourceLinked="1"/>
        <c:majorTickMark val="none"/>
        <c:minorTickMark val="none"/>
        <c:spPr/>
        <c:txPr>
          <a:bodyPr/>
          <a:lstStyle/>
          <a:p>
            <a:pPr lvl="0">
              <a:defRPr b="0">
                <a:solidFill>
                  <a:srgbClr val="000000"/>
                </a:solidFill>
                <a:latin typeface="+mn-lt"/>
              </a:defRPr>
            </a:pPr>
          </a:p>
        </c:txPr>
        <c:crossAx val="2108729492"/>
      </c:catAx>
      <c:valAx>
        <c:axId val="2108729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Publications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1117543"/>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Datasets by Weighted Contribution for Categories C1, C2, and C3</a:t>
            </a:r>
          </a:p>
        </c:rich>
      </c:tx>
      <c:overlay val="0"/>
    </c:title>
    <c:plotArea>
      <c:layout/>
      <c:barChart>
        <c:barDir val="bar"/>
        <c:ser>
          <c:idx val="0"/>
          <c:order val="0"/>
          <c:tx>
            <c:strRef>
              <c:f>' Top Datasets by Weighted Contr'!$B$3</c:f>
            </c:strRef>
          </c:tx>
          <c:spPr>
            <a:solidFill>
              <a:schemeClr val="accent1"/>
            </a:solidFill>
            <a:ln cmpd="sng">
              <a:solidFill>
                <a:srgbClr val="000000"/>
              </a:solidFill>
            </a:ln>
          </c:spPr>
          <c:cat>
            <c:strRef>
              <c:f>' Top Datasets by Weighted Contr'!$A$4:$A$41</c:f>
            </c:strRef>
          </c:cat>
          <c:val>
            <c:numRef>
              <c:f>' Top Datasets by Weighted Contr'!$B$4:$B$41</c:f>
              <c:numCache/>
            </c:numRef>
          </c:val>
        </c:ser>
        <c:axId val="1216840344"/>
        <c:axId val="344948058"/>
      </c:barChart>
      <c:catAx>
        <c:axId val="121684034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Dataset</a:t>
                </a:r>
              </a:p>
            </c:rich>
          </c:tx>
          <c:overlay val="0"/>
        </c:title>
        <c:numFmt formatCode="General" sourceLinked="1"/>
        <c:majorTickMark val="none"/>
        <c:minorTickMark val="none"/>
        <c:spPr/>
        <c:txPr>
          <a:bodyPr/>
          <a:lstStyle/>
          <a:p>
            <a:pPr lvl="0">
              <a:defRPr b="0">
                <a:solidFill>
                  <a:srgbClr val="000000"/>
                </a:solidFill>
                <a:latin typeface="+mn-lt"/>
              </a:defRPr>
            </a:pPr>
          </a:p>
        </c:txPr>
        <c:crossAx val="344948058"/>
      </c:catAx>
      <c:valAx>
        <c:axId val="3449480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Final Global Score (Weighted Contribution)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6840344"/>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Weighted Evidence Distribution by Dataset Size for Categories C1, C2, and C3</a:t>
            </a:r>
          </a:p>
        </c:rich>
      </c:tx>
      <c:overlay val="0"/>
    </c:title>
    <c:plotArea>
      <c:layout/>
      <c:barChart>
        <c:barDir val="col"/>
        <c:grouping val="stacked"/>
        <c:ser>
          <c:idx val="0"/>
          <c:order val="0"/>
          <c:tx>
            <c:strRef>
              <c:f>' Weighted Evidence Distribution'!$B$3</c:f>
            </c:strRef>
          </c:tx>
          <c:spPr>
            <a:solidFill>
              <a:schemeClr val="accent1"/>
            </a:solidFill>
            <a:ln cmpd="sng">
              <a:solidFill>
                <a:srgbClr val="000000"/>
              </a:solidFill>
            </a:ln>
          </c:spPr>
          <c:cat>
            <c:strRef>
              <c:f>' Weighted Evidence Distribution'!$A$4:$A$7</c:f>
            </c:strRef>
          </c:cat>
          <c:val>
            <c:numRef>
              <c:f>' Weighted Evidence Distribution'!$B$4:$B$7</c:f>
              <c:numCache/>
            </c:numRef>
          </c:val>
        </c:ser>
        <c:ser>
          <c:idx val="1"/>
          <c:order val="1"/>
          <c:tx>
            <c:strRef>
              <c:f>' Weighted Evidence Distribution'!$C$3</c:f>
            </c:strRef>
          </c:tx>
          <c:spPr>
            <a:solidFill>
              <a:schemeClr val="accent2"/>
            </a:solidFill>
            <a:ln cmpd="sng">
              <a:solidFill>
                <a:srgbClr val="000000"/>
              </a:solidFill>
            </a:ln>
          </c:spPr>
          <c:cat>
            <c:strRef>
              <c:f>' Weighted Evidence Distribution'!$A$4:$A$7</c:f>
            </c:strRef>
          </c:cat>
          <c:val>
            <c:numRef>
              <c:f>' Weighted Evidence Distribution'!$C$4:$C$7</c:f>
              <c:numCache/>
            </c:numRef>
          </c:val>
        </c:ser>
        <c:ser>
          <c:idx val="2"/>
          <c:order val="2"/>
          <c:tx>
            <c:strRef>
              <c:f>' Weighted Evidence Distribution'!$D$3</c:f>
            </c:strRef>
          </c:tx>
          <c:spPr>
            <a:solidFill>
              <a:schemeClr val="accent3"/>
            </a:solidFill>
            <a:ln cmpd="sng">
              <a:solidFill>
                <a:srgbClr val="000000"/>
              </a:solidFill>
            </a:ln>
          </c:spPr>
          <c:cat>
            <c:strRef>
              <c:f>' Weighted Evidence Distribution'!$A$4:$A$7</c:f>
            </c:strRef>
          </c:cat>
          <c:val>
            <c:numRef>
              <c:f>' Weighted Evidence Distribution'!$D$4:$D$7</c:f>
              <c:numCache/>
            </c:numRef>
          </c:val>
        </c:ser>
        <c:overlap val="100"/>
        <c:axId val="639764239"/>
        <c:axId val="1742327417"/>
      </c:barChart>
      <c:catAx>
        <c:axId val="639764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Category_Short</a:t>
                </a:r>
              </a:p>
            </c:rich>
          </c:tx>
          <c:overlay val="0"/>
        </c:title>
        <c:numFmt formatCode="General" sourceLinked="1"/>
        <c:majorTickMark val="none"/>
        <c:minorTickMark val="none"/>
        <c:spPr/>
        <c:txPr>
          <a:bodyPr/>
          <a:lstStyle/>
          <a:p>
            <a:pPr lvl="0">
              <a:defRPr b="0">
                <a:solidFill>
                  <a:srgbClr val="000000"/>
                </a:solidFill>
                <a:latin typeface="+mn-lt"/>
              </a:defRPr>
            </a:pPr>
          </a:p>
        </c:txPr>
        <c:crossAx val="1742327417"/>
      </c:catAx>
      <c:valAx>
        <c:axId val="1742327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Large (&gt;1000), Medium (300-1000), Small (&lt;300)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9764239"/>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Weighted Contribution vs. Model Families</a:t>
            </a:r>
          </a:p>
        </c:rich>
      </c:tx>
      <c:overlay val="0"/>
    </c:title>
    <c:view3D>
      <c:rotX val="15"/>
      <c:rotY val="20"/>
      <c:depthPercent val="100"/>
      <c:rAngAx val="1"/>
    </c:view3D>
    <c:plotArea>
      <c:layout/>
      <c:bar3DChart>
        <c:barDir val="bar"/>
        <c:grouping val="clustered"/>
        <c:ser>
          <c:idx val="0"/>
          <c:order val="0"/>
          <c:tx>
            <c:strRef>
              <c:f>' Weighted Contribution of Model'!$B$3</c:f>
            </c:strRef>
          </c:tx>
          <c:spPr>
            <a:solidFill>
              <a:schemeClr val="accent1"/>
            </a:solidFill>
            <a:ln cmpd="sng">
              <a:solidFill>
                <a:srgbClr val="000000"/>
              </a:solidFill>
            </a:ln>
          </c:spPr>
          <c:cat>
            <c:strRef>
              <c:f>' Weighted Contribution of Model'!$A$4:$A$8</c:f>
            </c:strRef>
          </c:cat>
          <c:val>
            <c:numRef>
              <c:f>' Weighted Contribution of Model'!$B$4:$B$8</c:f>
              <c:numCache/>
            </c:numRef>
          </c:val>
        </c:ser>
        <c:axId val="804575709"/>
        <c:axId val="363592886"/>
      </c:bar3DChart>
      <c:catAx>
        <c:axId val="804575709"/>
        <c:scaling>
          <c:orientation val="maxMin"/>
        </c:scaling>
        <c:delete val="0"/>
        <c:axPos val="l"/>
        <c:title>
          <c:tx>
            <c:rich>
              <a:bodyPr/>
              <a:lstStyle/>
              <a:p>
                <a:pPr lvl="0">
                  <a:defRPr b="1">
                    <a:solidFill>
                      <a:srgbClr val="000000"/>
                    </a:solidFill>
                    <a:latin typeface="+mn-lt"/>
                  </a:defRPr>
                </a:pPr>
                <a:r>
                  <a:rPr b="1">
                    <a:solidFill>
                      <a:srgbClr val="000000"/>
                    </a:solidFill>
                    <a:latin typeface="+mn-lt"/>
                  </a:rPr>
                  <a:t>Model Families</a:t>
                </a:r>
              </a:p>
            </c:rich>
          </c:tx>
          <c:overlay val="0"/>
        </c:title>
        <c:numFmt formatCode="General" sourceLinked="1"/>
        <c:majorTickMark val="none"/>
        <c:minorTickMark val="none"/>
        <c:spPr/>
        <c:txPr>
          <a:bodyPr/>
          <a:lstStyle/>
          <a:p>
            <a:pPr lvl="0">
              <a:defRPr b="0">
                <a:solidFill>
                  <a:srgbClr val="000000"/>
                </a:solidFill>
                <a:latin typeface="+mn-lt"/>
              </a:defRPr>
            </a:pPr>
          </a:p>
        </c:txPr>
        <c:crossAx val="363592886"/>
      </c:catAx>
      <c:valAx>
        <c:axId val="3635928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Weighted Contribution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4575709"/>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Model Family Weighted Contribution for C1</a:t>
            </a:r>
          </a:p>
        </c:rich>
      </c:tx>
      <c:overlay val="0"/>
    </c:title>
    <c:view3D>
      <c:rotX val="50"/>
      <c:perspective val="0"/>
    </c:view3D>
    <c:plotArea>
      <c:layout/>
      <c:pie3DChart>
        <c:varyColors val="1"/>
        <c:ser>
          <c:idx val="0"/>
          <c:order val="0"/>
          <c:tx>
            <c:strRef>
              <c:f>' Model Family Weighted Contribu'!$B$3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1"/>
            <c:showBubbleSize val="0"/>
            <c:showLeaderLines val="1"/>
          </c:dLbls>
          <c:cat>
            <c:strRef>
              <c:f>' Model Family Weighted Contribu'!$A$4:$A$8</c:f>
            </c:strRef>
          </c:cat>
          <c:val>
            <c:numRef>
              <c:f>' Model Family Weighted Contribu'!$B$4:$B$8</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chart>
  <c:spPr>
    <a:solidFill>
      <a:srgbClr val="EFEFE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Arial"/>
              </a:defRPr>
            </a:pPr>
            <a:r>
              <a:rPr b="1">
                <a:solidFill>
                  <a:srgbClr val="444746"/>
                </a:solidFill>
                <a:latin typeface="Arial"/>
              </a:rPr>
              <a:t>Model Family Weighted Contribution for C2</a:t>
            </a:r>
          </a:p>
        </c:rich>
      </c:tx>
      <c:overlay val="0"/>
    </c:title>
    <c:view3D>
      <c:rotX val="50"/>
      <c:perspective val="0"/>
    </c:view3D>
    <c:plotArea>
      <c:layout/>
      <c:pie3DChart>
        <c:varyColors val="1"/>
        <c:ser>
          <c:idx val="0"/>
          <c:order val="0"/>
          <c:tx>
            <c:strRef>
              <c:f>Sheet9!$B$3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Sheet9!$A$4:$A$7</c:f>
            </c:strRef>
          </c:cat>
          <c:val>
            <c:numRef>
              <c:f>Sheet9!$B$4:$B$7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Roboto"/>
            </a:defRPr>
          </a:pPr>
        </a:p>
      </c:txPr>
    </c:legend>
  </c:chart>
  <c:spPr>
    <a:solidFill>
      <a:srgbClr val="F0F4F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Model Family Weighted Contribution for C3</a:t>
            </a:r>
          </a:p>
        </c:rich>
      </c:tx>
      <c:overlay val="0"/>
    </c:title>
    <c:view3D>
      <c:rotX val="50"/>
      <c:perspective val="0"/>
    </c:view3D>
    <c:plotArea>
      <c:layout/>
      <c:pie3DChart>
        <c:varyColors val="1"/>
        <c:ser>
          <c:idx val="0"/>
          <c:order val="0"/>
          <c:tx>
            <c:strRef>
              <c:f>'Model Family Weighted Contribut'!$B$3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'Model Family Weighted Contribut'!$A$4:$A$7</c:f>
            </c:strRef>
          </c:cat>
          <c:val>
            <c:numRef>
              <c:f>'Model Family Weighted Contribut'!$B$4:$B$7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chart>
  <c:spPr>
    <a:solidFill>
      <a:srgbClr val="F6F8F9"/>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Distribution of Model Families Used for Object Detection</a:t>
            </a:r>
          </a:p>
        </c:rich>
      </c:tx>
      <c:overlay val="0"/>
    </c:title>
    <c:view3D>
      <c:rotX val="50"/>
      <c:perspective val="0"/>
    </c:view3D>
    <c:plotArea>
      <c:layout/>
      <c:pie3DChart>
        <c:varyColors val="1"/>
        <c:ser>
          <c:idx val="0"/>
          <c:order val="0"/>
          <c:tx>
            <c:strRef>
              <c:f>'Chart1 Distribution of Model Fa'!$B$3</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Lbls>
            <c:showLegendKey val="0"/>
            <c:showVal val="0"/>
            <c:showCatName val="0"/>
            <c:showSerName val="0"/>
            <c:showPercent val="0"/>
            <c:showBubbleSize val="0"/>
            <c:showLeaderLines val="1"/>
          </c:dLbls>
          <c:cat>
            <c:strRef>
              <c:f>'Chart1 Distribution of Model Fa'!$A$4:$A$9</c:f>
            </c:strRef>
          </c:cat>
          <c:val>
            <c:numRef>
              <c:f>'Chart1 Distribution of Model Fa'!$B$4:$B$9</c:f>
              <c:numCache/>
            </c:numRef>
          </c:val>
        </c:ser>
        <c:dLbls>
          <c:showLegendKey val="0"/>
          <c:showVal val="0"/>
          <c:showCatName val="0"/>
          <c:showSerName val="0"/>
          <c:showPercent val="0"/>
          <c:showBubbleSize val="0"/>
        </c:dLbls>
      </c:pie3DChart>
    </c:plotArea>
    <c:legend>
      <c:legendPos val="r"/>
      <c:overlay val="0"/>
      <c:txPr>
        <a:bodyPr/>
        <a:lstStyle/>
        <a:p>
          <a:pPr lvl="0">
            <a:defRPr b="0" i="1">
              <a:solidFill>
                <a:srgbClr val="1A1A1A"/>
              </a:solidFill>
              <a:latin typeface="+mn-lt"/>
            </a:defRPr>
          </a:pPr>
        </a:p>
      </c:txPr>
    </c:legend>
  </c:chart>
  <c:spPr>
    <a:solidFill>
      <a:srgbClr val="F0F4F9"/>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44746"/>
                </a:solidFill>
                <a:latin typeface="+mn-lt"/>
              </a:defRPr>
            </a:pPr>
            <a:r>
              <a:rPr b="1">
                <a:solidFill>
                  <a:srgbClr val="444746"/>
                </a:solidFill>
                <a:latin typeface="+mn-lt"/>
              </a:rPr>
              <a:t>Frequency of Explicit Segmentation Model Families</a:t>
            </a:r>
          </a:p>
        </c:rich>
      </c:tx>
      <c:overlay val="0"/>
    </c:title>
    <c:plotArea>
      <c:layout/>
      <c:barChart>
        <c:barDir val="col"/>
        <c:grouping val="stacked"/>
        <c:ser>
          <c:idx val="0"/>
          <c:order val="0"/>
          <c:tx>
            <c:strRef>
              <c:f>'Chart1 Frequency of Explicit Se'!$B$3</c:f>
            </c:strRef>
          </c:tx>
          <c:spPr>
            <a:solidFill>
              <a:schemeClr val="accent1"/>
            </a:solidFill>
            <a:ln cmpd="sng">
              <a:solidFill>
                <a:srgbClr val="000000"/>
              </a:solidFill>
            </a:ln>
          </c:spPr>
          <c:cat>
            <c:strRef>
              <c:f>'Chart1 Frequency of Explicit Se'!$A$4:$A$7</c:f>
            </c:strRef>
          </c:cat>
          <c:val>
            <c:numRef>
              <c:f>'Chart1 Frequency of Explicit Se'!$B$4:$B$7</c:f>
              <c:numCache/>
            </c:numRef>
          </c:val>
        </c:ser>
        <c:ser>
          <c:idx val="1"/>
          <c:order val="1"/>
          <c:tx>
            <c:strRef>
              <c:f>'Chart1 Frequency of Explicit Se'!$C$3</c:f>
            </c:strRef>
          </c:tx>
          <c:spPr>
            <a:solidFill>
              <a:schemeClr val="accent2"/>
            </a:solidFill>
            <a:ln cmpd="sng">
              <a:solidFill>
                <a:srgbClr val="000000"/>
              </a:solidFill>
            </a:ln>
          </c:spPr>
          <c:cat>
            <c:strRef>
              <c:f>'Chart1 Frequency of Explicit Se'!$A$4:$A$7</c:f>
            </c:strRef>
          </c:cat>
          <c:val>
            <c:numRef>
              <c:f>'Chart1 Frequency of Explicit Se'!$C$4:$C$7</c:f>
              <c:numCache/>
            </c:numRef>
          </c:val>
        </c:ser>
        <c:ser>
          <c:idx val="2"/>
          <c:order val="2"/>
          <c:tx>
            <c:strRef>
              <c:f>'Chart1 Frequency of Explicit Se'!$D$3</c:f>
            </c:strRef>
          </c:tx>
          <c:spPr>
            <a:solidFill>
              <a:schemeClr val="accent3"/>
            </a:solidFill>
            <a:ln cmpd="sng">
              <a:solidFill>
                <a:srgbClr val="000000"/>
              </a:solidFill>
            </a:ln>
          </c:spPr>
          <c:cat>
            <c:strRef>
              <c:f>'Chart1 Frequency of Explicit Se'!$A$4:$A$7</c:f>
            </c:strRef>
          </c:cat>
          <c:val>
            <c:numRef>
              <c:f>'Chart1 Frequency of Explicit Se'!$D$4:$D$7</c:f>
              <c:numCache/>
            </c:numRef>
          </c:val>
        </c:ser>
        <c:ser>
          <c:idx val="3"/>
          <c:order val="3"/>
          <c:tx>
            <c:strRef>
              <c:f>'Chart1 Frequency of Explicit Se'!$E$3</c:f>
            </c:strRef>
          </c:tx>
          <c:spPr>
            <a:solidFill>
              <a:schemeClr val="accent4"/>
            </a:solidFill>
            <a:ln cmpd="sng">
              <a:solidFill>
                <a:srgbClr val="000000"/>
              </a:solidFill>
            </a:ln>
          </c:spPr>
          <c:cat>
            <c:strRef>
              <c:f>'Chart1 Frequency of Explicit Se'!$A$4:$A$7</c:f>
            </c:strRef>
          </c:cat>
          <c:val>
            <c:numRef>
              <c:f>'Chart1 Frequency of Explicit Se'!$E$4:$E$7</c:f>
              <c:numCache/>
            </c:numRef>
          </c:val>
        </c:ser>
        <c:overlap val="100"/>
        <c:axId val="909471811"/>
        <c:axId val="88068227"/>
      </c:barChart>
      <c:catAx>
        <c:axId val="90947181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Model Category</a:t>
                </a:r>
              </a:p>
            </c:rich>
          </c:tx>
          <c:overlay val="0"/>
        </c:title>
        <c:numFmt formatCode="General" sourceLinked="1"/>
        <c:majorTickMark val="none"/>
        <c:minorTickMark val="none"/>
        <c:spPr/>
        <c:txPr>
          <a:bodyPr/>
          <a:lstStyle/>
          <a:p>
            <a:pPr lvl="0">
              <a:defRPr b="1">
                <a:solidFill>
                  <a:srgbClr val="000000"/>
                </a:solidFill>
                <a:latin typeface="+mn-lt"/>
              </a:defRPr>
            </a:pPr>
          </a:p>
        </c:txPr>
        <c:crossAx val="88068227"/>
      </c:catAx>
      <c:valAx>
        <c:axId val="880682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1">
                    <a:solidFill>
                      <a:srgbClr val="000000"/>
                    </a:solidFill>
                    <a:latin typeface="+mn-lt"/>
                  </a:defRPr>
                </a:pPr>
                <a:r>
                  <a:rPr b="1" i="1">
                    <a:solidFill>
                      <a:srgbClr val="000000"/>
                    </a:solidFill>
                    <a:latin typeface="+mn-lt"/>
                  </a:rPr>
                  <a:t>Number of Papers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9471811"/>
      </c:valAx>
    </c:plotArea>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180975</xdr:colOff>
      <xdr:row>83</xdr:row>
      <xdr:rowOff>142875</xdr:rowOff>
    </xdr:from>
    <xdr:ext cx="9172575" cy="4914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600075</xdr:colOff>
      <xdr:row>0</xdr:row>
      <xdr:rowOff>0</xdr:rowOff>
    </xdr:from>
    <xdr:ext cx="4714875" cy="2790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34475" cy="54864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05575" cy="39052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447675</xdr:colOff>
      <xdr:row>0</xdr:row>
      <xdr:rowOff>238125</xdr:rowOff>
    </xdr:from>
    <xdr:ext cx="6610350" cy="39719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505575" cy="39052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6:B11" displayName="Number_of_Papers_Published_by_Year" name="Number_of_Papers_Published_by_Year" id="1">
  <tableColumns count="2">
    <tableColumn name="Year" id="1"/>
    <tableColumn name="Count" id="2"/>
  </tableColumns>
  <tableStyleInfo name="Sheet6-style" showColumnStripes="0" showFirstColumn="1" showLastColumn="1" showRowStripes="1"/>
</table>
</file>

<file path=xl/tables/table2.xml><?xml version="1.0" encoding="utf-8"?>
<table xmlns="http://schemas.openxmlformats.org/spreadsheetml/2006/main" ref="D6:E11" displayName="Table2" name="Table2" id="2">
  <tableColumns count="2">
    <tableColumn name="Standardized Journal" id="1"/>
    <tableColumn name="Count" id="2"/>
  </tableColumns>
  <tableStyleInfo name="Sheet6-style 2" showColumnStripes="0" showFirstColumn="1" showLastColumn="1" showRowStripes="1"/>
</table>
</file>

<file path=xl/tables/table3.xml><?xml version="1.0" encoding="utf-8"?>
<table xmlns="http://schemas.openxmlformats.org/spreadsheetml/2006/main" ref="A3:B8" displayName="Table1" name="Table1" id="3">
  <tableColumns count="2">
    <tableColumn name="Standardized Journal" id="1"/>
    <tableColumn name="Count" id="2"/>
  </tableColumns>
  <tableStyleInfo name="Number of Publications by Stand-style" showColumnStripes="0" showFirstColumn="1" showLastColumn="1" showRowStripes="1"/>
</table>
</file>

<file path=xl/tables/table4.xml><?xml version="1.0" encoding="utf-8"?>
<table xmlns="http://schemas.openxmlformats.org/spreadsheetml/2006/main" ref="A10:B27" displayName="Number_of_Publications_by_Standardized_Journal_Conference" name="Number_of_Publications_by_Standardized_Journal_Conference" id="4">
  <tableColumns count="2">
    <tableColumn name="Standardized Journal" id="1"/>
    <tableColumn name="Count" id="2"/>
  </tableColumns>
  <tableStyleInfo name="Number of Publications by Stand-style 2" showColumnStripes="0" showFirstColumn="1" showLastColumn="1" showRowStripes="1"/>
</table>
</file>

<file path=xl/tables/table5.xml><?xml version="1.0" encoding="utf-8"?>
<table xmlns="http://schemas.openxmlformats.org/spreadsheetml/2006/main" ref="A3:B41" displayName="Top_Datasets_by_Weighted_Contribution_for_Categories_C1_C2_and_C3" name="Top_Datasets_by_Weighted_Contribution_for_Categories_C1_C2_and_C3" id="5">
  <tableColumns count="2">
    <tableColumn name="Dataset" id="1"/>
    <tableColumn name="Weighted_Contribution_Score" id="2"/>
  </tableColumns>
  <tableStyleInfo name=" Top Datasets by Weighted Contr-style" showColumnStripes="0" showFirstColumn="1" showLastColumn="1" showRowStripes="1"/>
</table>
</file>

<file path=xl/tables/table6.xml><?xml version="1.0" encoding="utf-8"?>
<table xmlns="http://schemas.openxmlformats.org/spreadsheetml/2006/main" ref="A3:D7" displayName="Weighted_Evidence_Distribution_by_Dataset_Size_for_Categories_C1_C2_and_C3" name="Weighted_Evidence_Distribution_by_Dataset_Size_for_Categories_C1_C2_and_C3" id="6">
  <tableColumns count="4">
    <tableColumn name="Category_Short" id="1"/>
    <tableColumn name="Large (&gt;1000)" id="2"/>
    <tableColumn name="Medium (300-1000)" id="3"/>
    <tableColumn name="Small (&lt;300)" id="4"/>
  </tableColumns>
  <tableStyleInfo name=" Weighted Evidence Distribution-style" showColumnStripes="0" showFirstColumn="1" showLastColumn="1" showRowStripes="1"/>
</table>
</file>

<file path=xl/tables/table7.xml><?xml version="1.0" encoding="utf-8"?>
<table xmlns="http://schemas.openxmlformats.org/spreadsheetml/2006/main" ref="A3:B8" displayName="Weighted_Contribution_of_Model_Families_in_Literature" name="Weighted_Contribution_of_Model_Families_in_Literature" id="7">
  <tableColumns count="2">
    <tableColumn name="Model_Families" id="1"/>
    <tableColumn name="Weighted_Contribution" id="2"/>
  </tableColumns>
  <tableStyleInfo name=" Weighted Contribution of Model-style" showColumnStripes="0" showFirstColumn="1" showLastColumn="1" showRowStripes="1"/>
</table>
</file>

<file path=xl/tables/table8.xml><?xml version="1.0" encoding="utf-8"?>
<table xmlns="http://schemas.openxmlformats.org/spreadsheetml/2006/main" ref="A3:B8" displayName="Model_Family_Weighted_Contribution_for_C1" name="Model_Family_Weighted_Contribution_for_C1" id="8">
  <tableColumns count="2">
    <tableColumn name="Model_Families" id="1"/>
    <tableColumn name="Weighted_Contribution" id="2"/>
  </tableColumns>
  <tableStyleInfo name=" Model Family Weighted Contribu-style" showColumnStripes="0" showFirstColumn="1" showLastColumn="1" showRowStripes="1"/>
</table>
</file>

<file path=xl/tables/table9.xml><?xml version="1.0" encoding="utf-8"?>
<table xmlns="http://schemas.openxmlformats.org/spreadsheetml/2006/main" ref="A3:B7" displayName="Model_Family_Weighted_Contribution_for_C2" name="Model_Family_Weighted_Contribution_for_C2" id="9">
  <tableColumns count="2">
    <tableColumn name="Model_Families" id="1"/>
    <tableColumn name="Weighted_Contribution" id="2"/>
  </tableColumns>
  <tableStyleInfo name="Sheet9-style" showColumnStripes="0" showFirstColumn="1" showLastColumn="1" showRowStripes="1"/>
</table>
</file>

<file path=xl/tables/table10.xml><?xml version="1.0" encoding="utf-8"?>
<table xmlns="http://schemas.openxmlformats.org/spreadsheetml/2006/main" ref="A3:B7" displayName="Model_Family_Weighted_Contribution_for_C3" name="Model_Family_Weighted_Contribution_for_C3" id="10">
  <tableColumns count="2">
    <tableColumn name="Model_Families" id="1"/>
    <tableColumn name="Weighted_Contribution" id="2"/>
  </tableColumns>
  <tableStyleInfo name="Model Family Weighted Contribut-style" showColumnStripes="0" showFirstColumn="1" showLastColumn="1" showRowStripes="1"/>
</table>
</file>

<file path=xl/tables/table11.xml><?xml version="1.0" encoding="utf-8"?>
<table xmlns="http://schemas.openxmlformats.org/spreadsheetml/2006/main" ref="A3:B9" displayName="Distribution_of_Model_Families_Used_for_Object_Detection_Segmentation" name="Distribution_of_Model_Families_Used_for_Object_Detection_Segmentation" id="11">
  <tableColumns count="2">
    <tableColumn name="Model_Category" id="1"/>
    <tableColumn name="Count" id="2"/>
  </tableColumns>
  <tableStyleInfo name="Chart1 Distribution of Model Fa-style" showColumnStripes="0" showFirstColumn="1" showLastColumn="1" showRowStripes="1"/>
</table>
</file>

<file path=xl/tables/table12.xml><?xml version="1.0" encoding="utf-8"?>
<table xmlns="http://schemas.openxmlformats.org/spreadsheetml/2006/main" ref="A3:E7" displayName="Frequency_of_Explicit_Segmentation_Model_Families" name="Frequency_of_Explicit_Segmentation_Model_Families" id="12">
  <tableColumns count="5">
    <tableColumn name="Model_Category" id="1"/>
    <tableColumn name="U-Net Family" id="2"/>
    <tableColumn name="YOLO Segmentation" id="3"/>
    <tableColumn name="Other Explicit Segmentation" id="4"/>
    <tableColumn name="R-CNN Segmentation" id="5"/>
  </tableColumns>
  <tableStyleInfo name="Chart1 Frequency of Explicit 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dpi.com/2075-4418/14/20/2336" TargetMode="External"/><Relationship Id="rId20" Type="http://schemas.openxmlformats.org/officeDocument/2006/relationships/hyperlink" Target="https://www.researchgate.net/publication/379305724_Combining_public_datasets_for_automated_tooth_assessment_in_panoramic_radiographs" TargetMode="External"/><Relationship Id="rId42" Type="http://schemas.openxmlformats.org/officeDocument/2006/relationships/hyperlink" Target="https://ieeexplore.ieee.org/abstract/document/11300717" TargetMode="External"/><Relationship Id="rId41" Type="http://schemas.openxmlformats.org/officeDocument/2006/relationships/hyperlink" Target="https://arxiv.org/abs/2510.20634" TargetMode="External"/><Relationship Id="rId22" Type="http://schemas.openxmlformats.org/officeDocument/2006/relationships/hyperlink" Target="https://www.mdpi.com/2673-4591/87/1/80" TargetMode="External"/><Relationship Id="rId44" Type="http://schemas.openxmlformats.org/officeDocument/2006/relationships/hyperlink" Target="https://www.nature.com/articles/s41598-026-36672-2" TargetMode="External"/><Relationship Id="rId21" Type="http://schemas.openxmlformats.org/officeDocument/2006/relationships/hyperlink" Target="https://link.springer.com/article/10.1186/s12903-025-06349-9" TargetMode="External"/><Relationship Id="rId43" Type="http://schemas.openxmlformats.org/officeDocument/2006/relationships/hyperlink" Target="https://www.nature.com/articles/s41598-025-16591-4" TargetMode="External"/><Relationship Id="rId24" Type="http://schemas.openxmlformats.org/officeDocument/2006/relationships/hyperlink" Target="https://link.springer.com/article/10.1186/s12903-025-05714-y" TargetMode="External"/><Relationship Id="rId46" Type="http://schemas.openxmlformats.org/officeDocument/2006/relationships/hyperlink" Target="https://www.sciencedirect.com/science/article/pii/S2352340924011144" TargetMode="External"/><Relationship Id="rId23" Type="http://schemas.openxmlformats.org/officeDocument/2006/relationships/hyperlink" Target="https://academic.oup.com/dmfr/article/54/2/89/7917334" TargetMode="External"/><Relationship Id="rId45" Type="http://schemas.openxmlformats.org/officeDocument/2006/relationships/hyperlink" Target="http://ieeexplore.ieee.org/abstract/document/10969266" TargetMode="External"/><Relationship Id="rId1" Type="http://schemas.openxmlformats.org/officeDocument/2006/relationships/hyperlink" Target="https://bmcoralhealth.biomedcentral.com/articles/10.1186/s12903-025-05577-3" TargetMode="External"/><Relationship Id="rId2" Type="http://schemas.openxmlformats.org/officeDocument/2006/relationships/hyperlink" Target="https://ieeexplore.ieee.org/document/11004399" TargetMode="External"/><Relationship Id="rId3" Type="http://schemas.openxmlformats.org/officeDocument/2006/relationships/hyperlink" Target="https://www.frontiersin.org/journals/dental-medicine/articles/10.3389/fdmed.2024.1509361/full" TargetMode="External"/><Relationship Id="rId4" Type="http://schemas.openxmlformats.org/officeDocument/2006/relationships/hyperlink" Target="https://www.mdpi.com/2304-6767/13/8/361" TargetMode="External"/><Relationship Id="rId9" Type="http://schemas.openxmlformats.org/officeDocument/2006/relationships/hyperlink" Target="https://www.semanticscholar.org/paper/Automated-Detection-of-Periodontal-Bone-Loss-in-A-Iacob-Fern%C3%A1ndez/0dd1ea4f6f3cb9dfb4c5e2426919198ec4396f29" TargetMode="External"/><Relationship Id="rId26" Type="http://schemas.openxmlformats.org/officeDocument/2006/relationships/hyperlink" Target="https://link.springer.com/article/10.1186/s12903-023-03819-w" TargetMode="External"/><Relationship Id="rId48" Type="http://schemas.openxmlformats.org/officeDocument/2006/relationships/drawing" Target="../drawings/drawing1.xml"/><Relationship Id="rId25" Type="http://schemas.openxmlformats.org/officeDocument/2006/relationships/hyperlink" Target="https://link.springer.com/article/10.1186/s12903-025-05677-0" TargetMode="External"/><Relationship Id="rId47" Type="http://schemas.openxmlformats.org/officeDocument/2006/relationships/hyperlink" Target="https://link.springer.com/article/10.1007/s00521-025-11730-4" TargetMode="External"/><Relationship Id="rId28" Type="http://schemas.openxmlformats.org/officeDocument/2006/relationships/hyperlink" Target="https://www.mdpi.com/2306-5354/11/11/1130" TargetMode="External"/><Relationship Id="rId27" Type="http://schemas.openxmlformats.org/officeDocument/2006/relationships/hyperlink" Target="https://arxiv.org/abs/2506.20522" TargetMode="External"/><Relationship Id="rId5" Type="http://schemas.openxmlformats.org/officeDocument/2006/relationships/hyperlink" Target="https://link.springer.com/article/10.1007/s00521-025-11462-5" TargetMode="External"/><Relationship Id="rId6" Type="http://schemas.openxmlformats.org/officeDocument/2006/relationships/hyperlink" Target="https://pmc.ncbi.nlm.nih.gov/articles/PMC10451544/" TargetMode="External"/><Relationship Id="rId29" Type="http://schemas.openxmlformats.org/officeDocument/2006/relationships/hyperlink" Target="https://jmai.amegroups.org/article/view/9510/pdf" TargetMode="External"/><Relationship Id="rId7" Type="http://schemas.openxmlformats.org/officeDocument/2006/relationships/hyperlink" Target="https://www.mdpi.com/2076-3417/13/23/12771" TargetMode="External"/><Relationship Id="rId8" Type="http://schemas.openxmlformats.org/officeDocument/2006/relationships/hyperlink" Target="https://doi.org/10.3390/children11060690" TargetMode="External"/><Relationship Id="rId31" Type="http://schemas.openxmlformats.org/officeDocument/2006/relationships/hyperlink" Target="https://pmc.ncbi.nlm.nih.gov/articles/PMC12633937/" TargetMode="External"/><Relationship Id="rId30" Type="http://schemas.openxmlformats.org/officeDocument/2006/relationships/hyperlink" Target="https://ieeexplore.ieee.org/abstract/document/10703069" TargetMode="External"/><Relationship Id="rId11" Type="http://schemas.openxmlformats.org/officeDocument/2006/relationships/hyperlink" Target="https://consensus.app/papers/artificial-intelligence-for-radiographic-imaging-tartaglia-fabbro/8503f2a38d3055e984b3e208995145cb/" TargetMode="External"/><Relationship Id="rId33" Type="http://schemas.openxmlformats.org/officeDocument/2006/relationships/hyperlink" Target="https://www.sciencedirect.com/science/article/pii/S0022391325007723" TargetMode="External"/><Relationship Id="rId10" Type="http://schemas.openxmlformats.org/officeDocument/2006/relationships/hyperlink" Target="https://ieeexplore.ieee.org/stamp/stamp.jsp?tp=&amp;arnumber=11167097&amp;tag=1" TargetMode="External"/><Relationship Id="rId32" Type="http://schemas.openxmlformats.org/officeDocument/2006/relationships/hyperlink" Target="https://www.sciencedirect.com/science/article/pii/S0020653925031612" TargetMode="External"/><Relationship Id="rId13" Type="http://schemas.openxmlformats.org/officeDocument/2006/relationships/hyperlink" Target="https://github.com/Binz-Chen/AAAI2024_CariesXrays" TargetMode="External"/><Relationship Id="rId35" Type="http://schemas.openxmlformats.org/officeDocument/2006/relationships/hyperlink" Target="https://ims.mf.uni-lj.si/wp-content/uploads/sites/14/2024/09/2024-1_1_BizjakRobic.pdf" TargetMode="External"/><Relationship Id="rId12" Type="http://schemas.openxmlformats.org/officeDocument/2006/relationships/hyperlink" Target="https://www.semanticscholar.org/paper/DenseNet201-Powered-Dental-Radiograph-A-Deep-for-Kaushik-Sharma/8099215f20823dd1d277be47f740d64e11f98dba" TargetMode="External"/><Relationship Id="rId34" Type="http://schemas.openxmlformats.org/officeDocument/2006/relationships/hyperlink" Target="https://pmc.ncbi.nlm.nih.gov/articles/PMC11300762/" TargetMode="External"/><Relationship Id="rId15" Type="http://schemas.openxmlformats.org/officeDocument/2006/relationships/hyperlink" Target="https://doi.org/10.1109/ICICKE65317.2025.11136352" TargetMode="External"/><Relationship Id="rId37" Type="http://schemas.openxmlformats.org/officeDocument/2006/relationships/hyperlink" Target="https://www.mdpi.com/2227-9067/12/11/1517" TargetMode="External"/><Relationship Id="rId14" Type="http://schemas.openxmlformats.org/officeDocument/2006/relationships/hyperlink" Target="https://doi.org/10.1186/s12903-024-04120-0" TargetMode="External"/><Relationship Id="rId36" Type="http://schemas.openxmlformats.org/officeDocument/2006/relationships/hyperlink" Target="https://dl.acm.org/doi/abs/10.1145/3691521.3691522" TargetMode="External"/><Relationship Id="rId17" Type="http://schemas.openxmlformats.org/officeDocument/2006/relationships/hyperlink" Target="https://link.springer.com/article/10.1186/s13005-025-00496-8" TargetMode="External"/><Relationship Id="rId39" Type="http://schemas.openxmlformats.org/officeDocument/2006/relationships/hyperlink" Target="https://academic.oup.com/dmfr/article/53/3/165/7588877" TargetMode="External"/><Relationship Id="rId16" Type="http://schemas.openxmlformats.org/officeDocument/2006/relationships/hyperlink" Target="https://doi.org/10.1177/0022034520972335" TargetMode="External"/><Relationship Id="rId38" Type="http://schemas.openxmlformats.org/officeDocument/2006/relationships/hyperlink" Target="https://www.nature.com/articles/s41598-024-73665-5" TargetMode="External"/><Relationship Id="rId19" Type="http://schemas.openxmlformats.org/officeDocument/2006/relationships/hyperlink" Target="https://pmc.ncbi.nlm.nih.gov/articles/PMC12210116/" TargetMode="External"/><Relationship Id="rId18" Type="http://schemas.openxmlformats.org/officeDocument/2006/relationships/hyperlink" Target="https://ieeexplore.ieee.org/document/1094016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ink.springer.com/article/10.1007/s11282-025-00891-6" TargetMode="External"/><Relationship Id="rId20" Type="http://schemas.openxmlformats.org/officeDocument/2006/relationships/hyperlink" Target="https://link.springer.com/article/10.1186/s12903-025-05677-0" TargetMode="External"/><Relationship Id="rId42" Type="http://schemas.openxmlformats.org/officeDocument/2006/relationships/hyperlink" Target="https://link.springer.com/article/10.1186/s12903-025-06349-9" TargetMode="External"/><Relationship Id="rId41" Type="http://schemas.openxmlformats.org/officeDocument/2006/relationships/hyperlink" Target="https://arxiv.org/abs/2510.20634" TargetMode="External"/><Relationship Id="rId22" Type="http://schemas.openxmlformats.org/officeDocument/2006/relationships/hyperlink" Target="https://arxiv.org/abs/2506.20522" TargetMode="External"/><Relationship Id="rId44" Type="http://schemas.openxmlformats.org/officeDocument/2006/relationships/hyperlink" Target="http://ieeexplore.ieee.org/abstract/document/10969266" TargetMode="External"/><Relationship Id="rId21" Type="http://schemas.openxmlformats.org/officeDocument/2006/relationships/hyperlink" Target="https://link.springer.com/article/10.1186/s12903-023-03819-w" TargetMode="External"/><Relationship Id="rId43" Type="http://schemas.openxmlformats.org/officeDocument/2006/relationships/hyperlink" Target="https://ieeexplore.ieee.org/abstract/document/11300717" TargetMode="External"/><Relationship Id="rId24" Type="http://schemas.openxmlformats.org/officeDocument/2006/relationships/hyperlink" Target="https://jmai.amegroups.org/article/view/9510/pdf" TargetMode="External"/><Relationship Id="rId46" Type="http://schemas.openxmlformats.org/officeDocument/2006/relationships/drawing" Target="../drawings/drawing2.xml"/><Relationship Id="rId23" Type="http://schemas.openxmlformats.org/officeDocument/2006/relationships/hyperlink" Target="https://www.mdpi.com/2306-5354/11/11/1130" TargetMode="External"/><Relationship Id="rId45" Type="http://schemas.openxmlformats.org/officeDocument/2006/relationships/hyperlink" Target="https://www.sciencedirect.com/science/article/pii/S2352340924011144" TargetMode="External"/><Relationship Id="rId1" Type="http://schemas.openxmlformats.org/officeDocument/2006/relationships/hyperlink" Target="http://s.no/" TargetMode="External"/><Relationship Id="rId2" Type="http://schemas.openxmlformats.org/officeDocument/2006/relationships/hyperlink" Target="https://bmcoralhealth.biomedcentral.com/articles/10.1186/s12903-025-05577-3" TargetMode="External"/><Relationship Id="rId3" Type="http://schemas.openxmlformats.org/officeDocument/2006/relationships/hyperlink" Target="https://ieeexplore.ieee.org/document/11004399" TargetMode="External"/><Relationship Id="rId4" Type="http://schemas.openxmlformats.org/officeDocument/2006/relationships/hyperlink" Target="https://link.springer.com/article/10.1186/s13005-025-00496-8" TargetMode="External"/><Relationship Id="rId9" Type="http://schemas.openxmlformats.org/officeDocument/2006/relationships/hyperlink" Target="https://pmc.ncbi.nlm.nih.gov/articles/PMC11300762/" TargetMode="External"/><Relationship Id="rId26" Type="http://schemas.openxmlformats.org/officeDocument/2006/relationships/hyperlink" Target="https://www.mdpi.com/2227-9067/12/11/1517" TargetMode="External"/><Relationship Id="rId25" Type="http://schemas.openxmlformats.org/officeDocument/2006/relationships/hyperlink" Target="https://ieeexplore.ieee.org/abstract/document/10703069" TargetMode="External"/><Relationship Id="rId28" Type="http://schemas.openxmlformats.org/officeDocument/2006/relationships/hyperlink" Target="https://onlinelibrary.wiley.com/doi/abs/10.1111/odi.15269" TargetMode="External"/><Relationship Id="rId27" Type="http://schemas.openxmlformats.org/officeDocument/2006/relationships/hyperlink" Target="https://www.nature.com/articles/s41598-024-73665-5" TargetMode="External"/><Relationship Id="rId5" Type="http://schemas.openxmlformats.org/officeDocument/2006/relationships/hyperlink" Target="https://www.mdpi.com/2227-9067/11/6/690" TargetMode="External"/><Relationship Id="rId6" Type="http://schemas.openxmlformats.org/officeDocument/2006/relationships/hyperlink" Target="https://ieeexplore.ieee.org/document/10940169" TargetMode="External"/><Relationship Id="rId29" Type="http://schemas.openxmlformats.org/officeDocument/2006/relationships/hyperlink" Target="https://www.sciencedirect.com/science/article/abs/pii/S0030399225009855" TargetMode="External"/><Relationship Id="rId7" Type="http://schemas.openxmlformats.org/officeDocument/2006/relationships/hyperlink" Target="https://pmc.ncbi.nlm.nih.gov/articles/PMC12633937/" TargetMode="External"/><Relationship Id="rId8" Type="http://schemas.openxmlformats.org/officeDocument/2006/relationships/hyperlink" Target="https://www.sciencedirect.com/science/article/pii/S0022391325007723" TargetMode="External"/><Relationship Id="rId31" Type="http://schemas.openxmlformats.org/officeDocument/2006/relationships/hyperlink" Target="https://link.springer.com/article/10.1007/s00521-025-11462-5" TargetMode="External"/><Relationship Id="rId30" Type="http://schemas.openxmlformats.org/officeDocument/2006/relationships/hyperlink" Target="https://www.sciencedirect.com/science/article/abs/pii/S0957417424013125" TargetMode="External"/><Relationship Id="rId11" Type="http://schemas.openxmlformats.org/officeDocument/2006/relationships/hyperlink" Target="https://dl.acm.org/doi/abs/10.1145/3691521.3691522" TargetMode="External"/><Relationship Id="rId33" Type="http://schemas.openxmlformats.org/officeDocument/2006/relationships/hyperlink" Target="https://www.nature.com/articles/s41598-026-36672-2" TargetMode="External"/><Relationship Id="rId10" Type="http://schemas.openxmlformats.org/officeDocument/2006/relationships/hyperlink" Target="https://ims.mf.uni-lj.si/wp-content/uploads/sites/14/2024/09/2024-1_1_BizjakRobic.pdf" TargetMode="External"/><Relationship Id="rId32" Type="http://schemas.openxmlformats.org/officeDocument/2006/relationships/hyperlink" Target="https://pmc.ncbi.nlm.nih.gov/articles/PMC10451544/" TargetMode="External"/><Relationship Id="rId13" Type="http://schemas.openxmlformats.org/officeDocument/2006/relationships/hyperlink" Target="https://link.springer.com/article/10.1007/s00521-025-11730-4" TargetMode="External"/><Relationship Id="rId35" Type="http://schemas.openxmlformats.org/officeDocument/2006/relationships/hyperlink" Target="https://www.mdpi.com/2075-4418/14/20/2336" TargetMode="External"/><Relationship Id="rId12" Type="http://schemas.openxmlformats.org/officeDocument/2006/relationships/hyperlink" Target="https://www.nature.com/articles/s41598-025-16591-4" TargetMode="External"/><Relationship Id="rId34" Type="http://schemas.openxmlformats.org/officeDocument/2006/relationships/hyperlink" Target="https://ieeexplore.ieee.org/stamp/stamp.jsp?tp=&amp;arnumber=11167097&amp;tag=1" TargetMode="External"/><Relationship Id="rId15" Type="http://schemas.openxmlformats.org/officeDocument/2006/relationships/hyperlink" Target="https://www.mdpi.com/2304-6767/13/8/361" TargetMode="External"/><Relationship Id="rId37" Type="http://schemas.openxmlformats.org/officeDocument/2006/relationships/hyperlink" Target="https://pmc.ncbi.nlm.nih.gov/articles/PMC12210116/" TargetMode="External"/><Relationship Id="rId14" Type="http://schemas.openxmlformats.org/officeDocument/2006/relationships/hyperlink" Target="https://www.frontiersin.org/journals/dental-medicine/articles/10.3389/fdmed.2024.1509361/full" TargetMode="External"/><Relationship Id="rId36" Type="http://schemas.openxmlformats.org/officeDocument/2006/relationships/hyperlink" Target="https://www.researchgate.net/publication/379305724_Combining_public_datasets_for_automated_tooth_assessment_in_panoramic_radiographs" TargetMode="External"/><Relationship Id="rId17" Type="http://schemas.openxmlformats.org/officeDocument/2006/relationships/hyperlink" Target="https://www.mdpi.com/2673-4591/87/1/80" TargetMode="External"/><Relationship Id="rId39" Type="http://schemas.openxmlformats.org/officeDocument/2006/relationships/hyperlink" Target="https://academic.oup.com/dmfr/article/53/3/165/7588877" TargetMode="External"/><Relationship Id="rId16" Type="http://schemas.openxmlformats.org/officeDocument/2006/relationships/hyperlink" Target="https://www.semanticscholar.org/paper/Automated-Detection-of-Periodontal-Bone-Loss-in-A-Iacob-Fern%C3%A1ndez/0dd1ea4f6f3cb9dfb4c5e2426919198ec4396f29" TargetMode="External"/><Relationship Id="rId38" Type="http://schemas.openxmlformats.org/officeDocument/2006/relationships/hyperlink" Target="https://www.sciencedirect.com/science/article/pii/S0020653925031612" TargetMode="External"/><Relationship Id="rId19" Type="http://schemas.openxmlformats.org/officeDocument/2006/relationships/hyperlink" Target="https://link.springer.com/article/10.1186/s12903-025-05714-y" TargetMode="External"/><Relationship Id="rId18" Type="http://schemas.openxmlformats.org/officeDocument/2006/relationships/hyperlink" Target="https://academic.oup.com/dmfr/article/54/2/89/7917334"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mdpi.com/2075-4418/14/20/2336" TargetMode="External"/><Relationship Id="rId20" Type="http://schemas.openxmlformats.org/officeDocument/2006/relationships/hyperlink" Target="https://www.researchgate.net/publication/379305724_Combining_public_datasets_for_automated_tooth_assessment_in_panoramic_radiographs" TargetMode="External"/><Relationship Id="rId42" Type="http://schemas.openxmlformats.org/officeDocument/2006/relationships/hyperlink" Target="https://ieeexplore.ieee.org/abstract/document/11300717" TargetMode="External"/><Relationship Id="rId41" Type="http://schemas.openxmlformats.org/officeDocument/2006/relationships/hyperlink" Target="https://arxiv.org/abs/2510.20634" TargetMode="External"/><Relationship Id="rId22" Type="http://schemas.openxmlformats.org/officeDocument/2006/relationships/hyperlink" Target="https://www.mdpi.com/2673-4591/87/1/80" TargetMode="External"/><Relationship Id="rId44" Type="http://schemas.openxmlformats.org/officeDocument/2006/relationships/hyperlink" Target="https://www.nature.com/articles/s41598-026-36672-2" TargetMode="External"/><Relationship Id="rId21" Type="http://schemas.openxmlformats.org/officeDocument/2006/relationships/hyperlink" Target="https://link.springer.com/article/10.1186/s12903-025-06349-9" TargetMode="External"/><Relationship Id="rId43" Type="http://schemas.openxmlformats.org/officeDocument/2006/relationships/hyperlink" Target="https://www.nature.com/articles/s41598-025-16591-4" TargetMode="External"/><Relationship Id="rId24" Type="http://schemas.openxmlformats.org/officeDocument/2006/relationships/hyperlink" Target="https://link.springer.com/article/10.1186/s12903-025-05714-y" TargetMode="External"/><Relationship Id="rId46" Type="http://schemas.openxmlformats.org/officeDocument/2006/relationships/hyperlink" Target="https://www.sciencedirect.com/science/article/pii/S2352340924011144" TargetMode="External"/><Relationship Id="rId23" Type="http://schemas.openxmlformats.org/officeDocument/2006/relationships/hyperlink" Target="https://academic.oup.com/dmfr/article/54/2/89/7917334" TargetMode="External"/><Relationship Id="rId45" Type="http://schemas.openxmlformats.org/officeDocument/2006/relationships/hyperlink" Target="http://ieeexplore.ieee.org/abstract/document/10969266" TargetMode="External"/><Relationship Id="rId1" Type="http://schemas.openxmlformats.org/officeDocument/2006/relationships/hyperlink" Target="https://bmcoralhealth.biomedcentral.com/articles/10.1186/s12903-025-05577-3" TargetMode="External"/><Relationship Id="rId2" Type="http://schemas.openxmlformats.org/officeDocument/2006/relationships/hyperlink" Target="https://ieeexplore.ieee.org/document/11004399" TargetMode="External"/><Relationship Id="rId3" Type="http://schemas.openxmlformats.org/officeDocument/2006/relationships/hyperlink" Target="https://www.frontiersin.org/journals/dental-medicine/articles/10.3389/fdmed.2024.1509361/full" TargetMode="External"/><Relationship Id="rId4" Type="http://schemas.openxmlformats.org/officeDocument/2006/relationships/hyperlink" Target="https://www.mdpi.com/2304-6767/13/8/361" TargetMode="External"/><Relationship Id="rId9" Type="http://schemas.openxmlformats.org/officeDocument/2006/relationships/hyperlink" Target="https://www.semanticscholar.org/paper/Automated-Detection-of-Periodontal-Bone-Loss-in-A-Iacob-Fern%C3%A1ndez/0dd1ea4f6f3cb9dfb4c5e2426919198ec4396f29" TargetMode="External"/><Relationship Id="rId26" Type="http://schemas.openxmlformats.org/officeDocument/2006/relationships/hyperlink" Target="https://link.springer.com/article/10.1186/s12903-023-03819-w" TargetMode="External"/><Relationship Id="rId48" Type="http://schemas.openxmlformats.org/officeDocument/2006/relationships/drawing" Target="../drawings/drawing3.xml"/><Relationship Id="rId25" Type="http://schemas.openxmlformats.org/officeDocument/2006/relationships/hyperlink" Target="https://link.springer.com/article/10.1186/s12903-025-05677-0" TargetMode="External"/><Relationship Id="rId47" Type="http://schemas.openxmlformats.org/officeDocument/2006/relationships/hyperlink" Target="https://link.springer.com/article/10.1007/s00521-025-11730-4" TargetMode="External"/><Relationship Id="rId28" Type="http://schemas.openxmlformats.org/officeDocument/2006/relationships/hyperlink" Target="https://www.mdpi.com/2306-5354/11/11/1130" TargetMode="External"/><Relationship Id="rId27" Type="http://schemas.openxmlformats.org/officeDocument/2006/relationships/hyperlink" Target="https://arxiv.org/abs/2506.20522" TargetMode="External"/><Relationship Id="rId5" Type="http://schemas.openxmlformats.org/officeDocument/2006/relationships/hyperlink" Target="https://link.springer.com/article/10.1007/s00521-025-11462-5" TargetMode="External"/><Relationship Id="rId6" Type="http://schemas.openxmlformats.org/officeDocument/2006/relationships/hyperlink" Target="https://pmc.ncbi.nlm.nih.gov/articles/PMC10451544/" TargetMode="External"/><Relationship Id="rId29" Type="http://schemas.openxmlformats.org/officeDocument/2006/relationships/hyperlink" Target="https://jmai.amegroups.org/article/view/9510/pdf" TargetMode="External"/><Relationship Id="rId7" Type="http://schemas.openxmlformats.org/officeDocument/2006/relationships/hyperlink" Target="https://www.mdpi.com/2076-3417/13/23/12771" TargetMode="External"/><Relationship Id="rId8" Type="http://schemas.openxmlformats.org/officeDocument/2006/relationships/hyperlink" Target="https://doi.org/10.3390/children11060690" TargetMode="External"/><Relationship Id="rId31" Type="http://schemas.openxmlformats.org/officeDocument/2006/relationships/hyperlink" Target="https://pmc.ncbi.nlm.nih.gov/articles/PMC12633937/" TargetMode="External"/><Relationship Id="rId30" Type="http://schemas.openxmlformats.org/officeDocument/2006/relationships/hyperlink" Target="https://ieeexplore.ieee.org/abstract/document/10703069" TargetMode="External"/><Relationship Id="rId11" Type="http://schemas.openxmlformats.org/officeDocument/2006/relationships/hyperlink" Target="https://consensus.app/papers/artificial-intelligence-for-radiographic-imaging-tartaglia-fabbro/8503f2a38d3055e984b3e208995145cb/" TargetMode="External"/><Relationship Id="rId33" Type="http://schemas.openxmlformats.org/officeDocument/2006/relationships/hyperlink" Target="https://www.sciencedirect.com/science/article/pii/S0022391325007723" TargetMode="External"/><Relationship Id="rId10" Type="http://schemas.openxmlformats.org/officeDocument/2006/relationships/hyperlink" Target="https://ieeexplore.ieee.org/stamp/stamp.jsp?tp=&amp;arnumber=11167097&amp;tag=1" TargetMode="External"/><Relationship Id="rId32" Type="http://schemas.openxmlformats.org/officeDocument/2006/relationships/hyperlink" Target="https://www.sciencedirect.com/science/article/pii/S0020653925031612" TargetMode="External"/><Relationship Id="rId13" Type="http://schemas.openxmlformats.org/officeDocument/2006/relationships/hyperlink" Target="https://github.com/Binz-Chen/AAAI2024_CariesXrays" TargetMode="External"/><Relationship Id="rId35" Type="http://schemas.openxmlformats.org/officeDocument/2006/relationships/hyperlink" Target="https://ims.mf.uni-lj.si/wp-content/uploads/sites/14/2024/09/2024-1_1_BizjakRobic.pdf" TargetMode="External"/><Relationship Id="rId12" Type="http://schemas.openxmlformats.org/officeDocument/2006/relationships/hyperlink" Target="https://www.semanticscholar.org/paper/DenseNet201-Powered-Dental-Radiograph-A-Deep-for-Kaushik-Sharma/8099215f20823dd1d277be47f740d64e11f98dba" TargetMode="External"/><Relationship Id="rId34" Type="http://schemas.openxmlformats.org/officeDocument/2006/relationships/hyperlink" Target="https://pmc.ncbi.nlm.nih.gov/articles/PMC11300762/" TargetMode="External"/><Relationship Id="rId15" Type="http://schemas.openxmlformats.org/officeDocument/2006/relationships/hyperlink" Target="https://doi.org/10.1109/ICICKE65317.2025.11136352" TargetMode="External"/><Relationship Id="rId37" Type="http://schemas.openxmlformats.org/officeDocument/2006/relationships/hyperlink" Target="https://www.mdpi.com/2227-9067/12/11/1517" TargetMode="External"/><Relationship Id="rId14" Type="http://schemas.openxmlformats.org/officeDocument/2006/relationships/hyperlink" Target="https://doi.org/10.1186/s12903-024-04120-0" TargetMode="External"/><Relationship Id="rId36" Type="http://schemas.openxmlformats.org/officeDocument/2006/relationships/hyperlink" Target="https://dl.acm.org/doi/abs/10.1145/3691521.3691522" TargetMode="External"/><Relationship Id="rId17" Type="http://schemas.openxmlformats.org/officeDocument/2006/relationships/hyperlink" Target="https://link.springer.com/article/10.1186/s13005-025-00496-8" TargetMode="External"/><Relationship Id="rId39" Type="http://schemas.openxmlformats.org/officeDocument/2006/relationships/hyperlink" Target="https://academic.oup.com/dmfr/article/53/3/165/7588877" TargetMode="External"/><Relationship Id="rId16" Type="http://schemas.openxmlformats.org/officeDocument/2006/relationships/hyperlink" Target="https://doi.org/10.1177/0022034520972335" TargetMode="External"/><Relationship Id="rId38" Type="http://schemas.openxmlformats.org/officeDocument/2006/relationships/hyperlink" Target="https://www.nature.com/articles/s41598-024-73665-5" TargetMode="External"/><Relationship Id="rId19" Type="http://schemas.openxmlformats.org/officeDocument/2006/relationships/hyperlink" Target="https://pmc.ncbi.nlm.nih.gov/articles/PMC12210116/" TargetMode="External"/><Relationship Id="rId18" Type="http://schemas.openxmlformats.org/officeDocument/2006/relationships/hyperlink" Target="https://ieeexplore.ieee.org/document/1094016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0.38"/>
    <col customWidth="1" min="3" max="3" width="18.38"/>
    <col customWidth="1" min="5" max="5" width="20.88"/>
    <col customWidth="1" min="6" max="6" width="42.0"/>
    <col customWidth="1" min="7" max="7" width="28.63"/>
    <col customWidth="1" min="8" max="8" width="22.63"/>
    <col customWidth="1" min="9" max="9" width="21.13"/>
    <col customWidth="1" min="10" max="10" width="18.0"/>
    <col customWidth="1" min="11" max="11" width="24.0"/>
    <col customWidth="1" min="12" max="12" width="18.38"/>
    <col customWidth="1" min="13" max="13" width="21.38"/>
    <col customWidth="1" min="14" max="17" width="30.5"/>
    <col customWidth="1" min="18" max="18" width="21.25"/>
    <col customWidth="1" min="19" max="19" width="21.3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1" t="s">
        <v>17</v>
      </c>
    </row>
    <row r="2" ht="90.75" customHeight="1">
      <c r="A2" s="3" t="s">
        <v>18</v>
      </c>
      <c r="B2" s="4" t="s">
        <v>19</v>
      </c>
      <c r="C2" s="4" t="s">
        <v>20</v>
      </c>
      <c r="D2" s="4">
        <v>2025.0</v>
      </c>
      <c r="E2" s="4" t="s">
        <v>21</v>
      </c>
      <c r="F2" s="5" t="s">
        <v>22</v>
      </c>
      <c r="G2" s="4" t="s">
        <v>23</v>
      </c>
      <c r="H2" s="4" t="s">
        <v>24</v>
      </c>
      <c r="I2" s="4" t="s">
        <v>25</v>
      </c>
      <c r="J2" s="4" t="s">
        <v>26</v>
      </c>
      <c r="K2" s="4" t="s">
        <v>27</v>
      </c>
      <c r="L2" s="4" t="s">
        <v>28</v>
      </c>
      <c r="M2" s="4" t="s">
        <v>29</v>
      </c>
      <c r="N2" s="4" t="s">
        <v>30</v>
      </c>
      <c r="O2" s="4" t="s">
        <v>31</v>
      </c>
      <c r="P2" s="4" t="s">
        <v>32</v>
      </c>
      <c r="Q2" s="4" t="s">
        <v>33</v>
      </c>
      <c r="R2" s="4" t="s">
        <v>34</v>
      </c>
    </row>
    <row r="3">
      <c r="A3" s="3" t="s">
        <v>35</v>
      </c>
      <c r="B3" s="4" t="s">
        <v>36</v>
      </c>
      <c r="C3" s="4" t="s">
        <v>37</v>
      </c>
      <c r="D3" s="4">
        <v>2024.0</v>
      </c>
      <c r="E3" s="4" t="s">
        <v>38</v>
      </c>
      <c r="F3" s="6" t="s">
        <v>39</v>
      </c>
      <c r="G3" s="4" t="s">
        <v>40</v>
      </c>
      <c r="H3" s="4" t="s">
        <v>41</v>
      </c>
      <c r="I3" s="4" t="s">
        <v>42</v>
      </c>
      <c r="J3" s="4" t="s">
        <v>43</v>
      </c>
      <c r="K3" s="4" t="s">
        <v>44</v>
      </c>
      <c r="L3" s="4" t="s">
        <v>45</v>
      </c>
      <c r="M3" s="4" t="s">
        <v>29</v>
      </c>
      <c r="N3" s="4" t="s">
        <v>46</v>
      </c>
      <c r="O3" s="4" t="s">
        <v>47</v>
      </c>
      <c r="P3" s="4" t="s">
        <v>48</v>
      </c>
      <c r="Q3" s="4" t="s">
        <v>49</v>
      </c>
      <c r="R3" s="4" t="s">
        <v>34</v>
      </c>
      <c r="S3" s="7"/>
      <c r="T3" s="7"/>
      <c r="U3" s="7"/>
      <c r="V3" s="7"/>
      <c r="W3" s="7"/>
      <c r="X3" s="7"/>
      <c r="Y3" s="7"/>
      <c r="Z3" s="7"/>
      <c r="AA3" s="7"/>
      <c r="AB3" s="7"/>
      <c r="AC3" s="7"/>
    </row>
    <row r="4">
      <c r="A4" s="4" t="s">
        <v>50</v>
      </c>
      <c r="B4" s="4" t="s">
        <v>51</v>
      </c>
      <c r="C4" s="4" t="s">
        <v>52</v>
      </c>
      <c r="D4" s="4">
        <v>2025.0</v>
      </c>
      <c r="E4" s="4" t="s">
        <v>53</v>
      </c>
      <c r="F4" s="6" t="s">
        <v>54</v>
      </c>
      <c r="G4" s="4" t="s">
        <v>55</v>
      </c>
      <c r="H4" s="4" t="s">
        <v>56</v>
      </c>
      <c r="I4" s="4" t="s">
        <v>57</v>
      </c>
      <c r="J4" s="4" t="s">
        <v>58</v>
      </c>
      <c r="K4" s="4" t="s">
        <v>59</v>
      </c>
      <c r="L4" s="4" t="s">
        <v>60</v>
      </c>
      <c r="M4" s="4" t="s">
        <v>29</v>
      </c>
      <c r="N4" s="4" t="s">
        <v>61</v>
      </c>
      <c r="O4" s="4" t="s">
        <v>62</v>
      </c>
      <c r="P4" s="4" t="s">
        <v>63</v>
      </c>
      <c r="Q4" s="4" t="s">
        <v>64</v>
      </c>
      <c r="R4" s="4" t="s">
        <v>65</v>
      </c>
      <c r="S4" s="7"/>
      <c r="T4" s="7"/>
      <c r="U4" s="7"/>
      <c r="V4" s="7"/>
      <c r="W4" s="7"/>
      <c r="X4" s="7"/>
      <c r="Y4" s="7"/>
      <c r="Z4" s="7"/>
      <c r="AA4" s="7"/>
      <c r="AB4" s="7"/>
      <c r="AC4" s="7"/>
    </row>
    <row r="5">
      <c r="A5" s="4" t="s">
        <v>66</v>
      </c>
      <c r="B5" s="4" t="s">
        <v>67</v>
      </c>
      <c r="C5" s="4" t="s">
        <v>68</v>
      </c>
      <c r="D5" s="4">
        <v>2025.0</v>
      </c>
      <c r="E5" s="4" t="s">
        <v>69</v>
      </c>
      <c r="F5" s="6" t="s">
        <v>67</v>
      </c>
      <c r="G5" s="4" t="s">
        <v>70</v>
      </c>
      <c r="H5" s="4" t="s">
        <v>71</v>
      </c>
      <c r="I5" s="4" t="s">
        <v>72</v>
      </c>
      <c r="J5" s="4" t="s">
        <v>73</v>
      </c>
      <c r="K5" s="4" t="s">
        <v>74</v>
      </c>
      <c r="L5" s="4" t="s">
        <v>75</v>
      </c>
      <c r="M5" s="4" t="s">
        <v>29</v>
      </c>
      <c r="N5" s="4" t="s">
        <v>76</v>
      </c>
      <c r="O5" s="4" t="s">
        <v>77</v>
      </c>
      <c r="P5" s="4" t="s">
        <v>78</v>
      </c>
      <c r="Q5" s="4" t="s">
        <v>79</v>
      </c>
      <c r="R5" s="4" t="s">
        <v>65</v>
      </c>
      <c r="S5" s="4" t="s">
        <v>80</v>
      </c>
      <c r="T5" s="7"/>
      <c r="U5" s="7"/>
      <c r="V5" s="7"/>
      <c r="W5" s="7"/>
      <c r="X5" s="7"/>
      <c r="Y5" s="7"/>
      <c r="Z5" s="7"/>
      <c r="AA5" s="7"/>
      <c r="AB5" s="7"/>
      <c r="AC5" s="7"/>
    </row>
    <row r="6">
      <c r="A6" s="4" t="s">
        <v>81</v>
      </c>
      <c r="B6" s="4" t="s">
        <v>82</v>
      </c>
      <c r="C6" s="4" t="s">
        <v>83</v>
      </c>
      <c r="D6" s="4">
        <v>2025.0</v>
      </c>
      <c r="E6" s="4" t="s">
        <v>84</v>
      </c>
      <c r="F6" s="6" t="s">
        <v>85</v>
      </c>
      <c r="G6" s="4" t="s">
        <v>86</v>
      </c>
      <c r="H6" s="4" t="s">
        <v>87</v>
      </c>
      <c r="I6" s="4" t="s">
        <v>88</v>
      </c>
      <c r="J6" s="4" t="s">
        <v>89</v>
      </c>
      <c r="K6" s="4" t="s">
        <v>90</v>
      </c>
      <c r="L6" s="4" t="s">
        <v>91</v>
      </c>
      <c r="M6" s="4" t="s">
        <v>29</v>
      </c>
      <c r="N6" s="4" t="s">
        <v>92</v>
      </c>
      <c r="O6" s="4" t="s">
        <v>93</v>
      </c>
      <c r="P6" s="4" t="s">
        <v>94</v>
      </c>
      <c r="Q6" s="4" t="s">
        <v>95</v>
      </c>
      <c r="R6" s="4" t="s">
        <v>96</v>
      </c>
      <c r="S6" s="7"/>
      <c r="T6" s="7"/>
      <c r="U6" s="7"/>
      <c r="V6" s="7"/>
      <c r="W6" s="7"/>
      <c r="X6" s="7"/>
      <c r="Y6" s="7"/>
      <c r="Z6" s="7"/>
      <c r="AA6" s="7"/>
      <c r="AB6" s="7"/>
      <c r="AC6" s="7"/>
    </row>
    <row r="7">
      <c r="A7" s="4" t="s">
        <v>97</v>
      </c>
      <c r="B7" s="4" t="s">
        <v>98</v>
      </c>
      <c r="C7" s="4" t="s">
        <v>99</v>
      </c>
      <c r="D7" s="4">
        <v>2023.0</v>
      </c>
      <c r="E7" s="4" t="s">
        <v>100</v>
      </c>
      <c r="F7" s="6" t="s">
        <v>101</v>
      </c>
      <c r="G7" s="4" t="s">
        <v>102</v>
      </c>
      <c r="H7" s="4" t="s">
        <v>103</v>
      </c>
      <c r="I7" s="4" t="s">
        <v>104</v>
      </c>
      <c r="J7" s="4" t="s">
        <v>105</v>
      </c>
      <c r="K7" s="4" t="s">
        <v>106</v>
      </c>
      <c r="L7" s="4" t="s">
        <v>107</v>
      </c>
      <c r="M7" s="4" t="s">
        <v>108</v>
      </c>
      <c r="N7" s="4" t="s">
        <v>109</v>
      </c>
      <c r="O7" s="4" t="s">
        <v>110</v>
      </c>
      <c r="P7" s="4" t="s">
        <v>111</v>
      </c>
      <c r="Q7" s="4" t="s">
        <v>112</v>
      </c>
      <c r="R7" s="4" t="s">
        <v>96</v>
      </c>
      <c r="S7" s="7"/>
      <c r="T7" s="7"/>
      <c r="U7" s="7"/>
      <c r="V7" s="7"/>
      <c r="W7" s="7"/>
      <c r="X7" s="7"/>
      <c r="Y7" s="7"/>
      <c r="Z7" s="7"/>
      <c r="AA7" s="7"/>
      <c r="AB7" s="7"/>
      <c r="AC7" s="7"/>
    </row>
    <row r="8">
      <c r="A8" s="4" t="s">
        <v>113</v>
      </c>
      <c r="B8" s="4" t="s">
        <v>114</v>
      </c>
      <c r="C8" s="4" t="s">
        <v>115</v>
      </c>
      <c r="D8" s="4">
        <v>2023.0</v>
      </c>
      <c r="E8" s="4" t="s">
        <v>116</v>
      </c>
      <c r="F8" s="6" t="s">
        <v>114</v>
      </c>
      <c r="G8" s="4" t="s">
        <v>117</v>
      </c>
      <c r="H8" s="4" t="s">
        <v>118</v>
      </c>
      <c r="I8" s="4" t="s">
        <v>119</v>
      </c>
      <c r="J8" s="4" t="s">
        <v>120</v>
      </c>
      <c r="K8" s="4" t="s">
        <v>121</v>
      </c>
      <c r="L8" s="4" t="s">
        <v>122</v>
      </c>
      <c r="M8" s="4" t="s">
        <v>29</v>
      </c>
      <c r="N8" s="4" t="s">
        <v>123</v>
      </c>
      <c r="O8" s="4" t="s">
        <v>124</v>
      </c>
      <c r="P8" s="4" t="s">
        <v>125</v>
      </c>
      <c r="Q8" s="4" t="s">
        <v>126</v>
      </c>
      <c r="R8" s="8" t="s">
        <v>34</v>
      </c>
      <c r="S8" s="7"/>
      <c r="T8" s="7"/>
      <c r="U8" s="7"/>
      <c r="V8" s="7"/>
      <c r="W8" s="7"/>
      <c r="X8" s="7"/>
      <c r="Y8" s="7"/>
      <c r="Z8" s="7"/>
      <c r="AA8" s="7"/>
      <c r="AB8" s="7"/>
      <c r="AC8" s="7"/>
    </row>
    <row r="9">
      <c r="A9" s="4" t="s">
        <v>127</v>
      </c>
      <c r="B9" s="4" t="s">
        <v>128</v>
      </c>
      <c r="C9" s="4" t="s">
        <v>129</v>
      </c>
      <c r="D9" s="4">
        <v>2024.0</v>
      </c>
      <c r="E9" s="4" t="s">
        <v>130</v>
      </c>
      <c r="F9" s="6" t="s">
        <v>128</v>
      </c>
      <c r="G9" s="4" t="s">
        <v>131</v>
      </c>
      <c r="H9" s="4" t="s">
        <v>132</v>
      </c>
      <c r="I9" s="4" t="s">
        <v>133</v>
      </c>
      <c r="J9" s="4" t="s">
        <v>134</v>
      </c>
      <c r="K9" s="4" t="s">
        <v>135</v>
      </c>
      <c r="L9" s="4" t="s">
        <v>136</v>
      </c>
      <c r="M9" s="4" t="s">
        <v>29</v>
      </c>
      <c r="N9" s="4" t="s">
        <v>137</v>
      </c>
      <c r="O9" s="4" t="s">
        <v>138</v>
      </c>
      <c r="P9" s="4" t="s">
        <v>139</v>
      </c>
      <c r="Q9" s="4" t="s">
        <v>140</v>
      </c>
      <c r="R9" s="4" t="s">
        <v>34</v>
      </c>
      <c r="S9" s="7"/>
      <c r="T9" s="7"/>
      <c r="U9" s="7"/>
      <c r="V9" s="7"/>
      <c r="W9" s="7"/>
      <c r="X9" s="7"/>
      <c r="Y9" s="7"/>
      <c r="Z9" s="7"/>
      <c r="AA9" s="7"/>
      <c r="AB9" s="7"/>
      <c r="AC9" s="7"/>
    </row>
    <row r="10">
      <c r="A10" s="4" t="s">
        <v>141</v>
      </c>
      <c r="B10" s="4" t="s">
        <v>142</v>
      </c>
      <c r="C10" s="4" t="s">
        <v>68</v>
      </c>
      <c r="D10" s="4">
        <v>2025.0</v>
      </c>
      <c r="E10" s="4" t="s">
        <v>143</v>
      </c>
      <c r="F10" s="5" t="s">
        <v>144</v>
      </c>
      <c r="G10" s="4" t="s">
        <v>145</v>
      </c>
      <c r="H10" s="4" t="s">
        <v>146</v>
      </c>
      <c r="I10" s="4" t="s">
        <v>147</v>
      </c>
      <c r="J10" s="4" t="s">
        <v>148</v>
      </c>
      <c r="K10" s="4" t="s">
        <v>149</v>
      </c>
      <c r="L10" s="4" t="s">
        <v>150</v>
      </c>
      <c r="M10" s="4" t="s">
        <v>151</v>
      </c>
      <c r="N10" s="4" t="s">
        <v>152</v>
      </c>
      <c r="O10" s="4" t="s">
        <v>153</v>
      </c>
      <c r="P10" s="4" t="s">
        <v>154</v>
      </c>
      <c r="Q10" s="4" t="s">
        <v>155</v>
      </c>
      <c r="R10" s="4" t="s">
        <v>65</v>
      </c>
      <c r="S10" s="7"/>
      <c r="T10" s="7"/>
      <c r="U10" s="7"/>
      <c r="V10" s="7"/>
      <c r="W10" s="7"/>
      <c r="X10" s="7"/>
      <c r="Y10" s="7"/>
      <c r="Z10" s="7"/>
      <c r="AA10" s="7"/>
      <c r="AB10" s="7"/>
      <c r="AC10" s="7"/>
    </row>
    <row r="11">
      <c r="A11" s="4" t="s">
        <v>156</v>
      </c>
      <c r="B11" s="4" t="s">
        <v>157</v>
      </c>
      <c r="C11" s="4" t="s">
        <v>158</v>
      </c>
      <c r="D11" s="4">
        <v>2025.0</v>
      </c>
      <c r="E11" s="4" t="s">
        <v>159</v>
      </c>
      <c r="F11" s="6" t="s">
        <v>160</v>
      </c>
      <c r="G11" s="4" t="s">
        <v>161</v>
      </c>
      <c r="H11" s="4" t="s">
        <v>162</v>
      </c>
      <c r="I11" s="4" t="s">
        <v>163</v>
      </c>
      <c r="J11" s="4" t="s">
        <v>164</v>
      </c>
      <c r="K11" s="4" t="s">
        <v>165</v>
      </c>
      <c r="L11" s="4" t="s">
        <v>166</v>
      </c>
      <c r="M11" s="4" t="s">
        <v>29</v>
      </c>
      <c r="N11" s="4" t="s">
        <v>167</v>
      </c>
      <c r="O11" s="4" t="s">
        <v>168</v>
      </c>
      <c r="P11" s="4" t="s">
        <v>169</v>
      </c>
      <c r="Q11" s="4" t="s">
        <v>170</v>
      </c>
      <c r="R11" s="4" t="s">
        <v>96</v>
      </c>
      <c r="S11" s="7"/>
      <c r="T11" s="7"/>
      <c r="U11" s="7"/>
      <c r="V11" s="7"/>
      <c r="W11" s="7"/>
      <c r="X11" s="7"/>
      <c r="Y11" s="7"/>
      <c r="Z11" s="7"/>
      <c r="AA11" s="7"/>
      <c r="AB11" s="7"/>
      <c r="AC11" s="7"/>
    </row>
    <row r="12" ht="68.25" customHeight="1">
      <c r="A12" s="4" t="s">
        <v>171</v>
      </c>
      <c r="B12" s="4" t="s">
        <v>172</v>
      </c>
      <c r="C12" s="4" t="s">
        <v>173</v>
      </c>
      <c r="D12" s="4">
        <v>2024.0</v>
      </c>
      <c r="E12" s="4" t="s">
        <v>174</v>
      </c>
      <c r="F12" s="6" t="s">
        <v>175</v>
      </c>
      <c r="G12" s="4" t="s">
        <v>176</v>
      </c>
      <c r="H12" s="4" t="s">
        <v>177</v>
      </c>
      <c r="I12" s="4" t="s">
        <v>178</v>
      </c>
      <c r="J12" s="4" t="s">
        <v>179</v>
      </c>
      <c r="K12" s="4" t="s">
        <v>180</v>
      </c>
      <c r="L12" s="4" t="s">
        <v>181</v>
      </c>
      <c r="M12" s="4" t="s">
        <v>29</v>
      </c>
      <c r="N12" s="4" t="s">
        <v>182</v>
      </c>
      <c r="O12" s="4" t="s">
        <v>183</v>
      </c>
      <c r="P12" s="4" t="s">
        <v>184</v>
      </c>
      <c r="Q12" s="4" t="s">
        <v>185</v>
      </c>
      <c r="R12" s="4" t="s">
        <v>34</v>
      </c>
      <c r="S12" s="7"/>
      <c r="T12" s="7"/>
      <c r="U12" s="7"/>
      <c r="V12" s="7"/>
      <c r="W12" s="7"/>
      <c r="X12" s="7"/>
      <c r="Y12" s="7"/>
      <c r="Z12" s="7"/>
      <c r="AA12" s="7"/>
      <c r="AB12" s="7"/>
      <c r="AC12" s="7"/>
    </row>
    <row r="13" ht="81.75" customHeight="1">
      <c r="A13" s="4" t="s">
        <v>186</v>
      </c>
      <c r="B13" s="4" t="s">
        <v>187</v>
      </c>
      <c r="C13" s="4" t="s">
        <v>188</v>
      </c>
      <c r="D13" s="4">
        <v>2025.0</v>
      </c>
      <c r="E13" s="4" t="s">
        <v>189</v>
      </c>
      <c r="F13" s="6" t="s">
        <v>190</v>
      </c>
      <c r="G13" s="4" t="s">
        <v>191</v>
      </c>
      <c r="H13" s="4" t="s">
        <v>192</v>
      </c>
      <c r="I13" s="4" t="s">
        <v>193</v>
      </c>
      <c r="J13" s="4" t="s">
        <v>194</v>
      </c>
      <c r="K13" s="4" t="s">
        <v>195</v>
      </c>
      <c r="L13" s="4" t="s">
        <v>196</v>
      </c>
      <c r="M13" s="4" t="s">
        <v>29</v>
      </c>
      <c r="N13" s="4" t="s">
        <v>197</v>
      </c>
      <c r="O13" s="4" t="s">
        <v>198</v>
      </c>
      <c r="P13" s="4" t="s">
        <v>199</v>
      </c>
      <c r="Q13" s="4" t="s">
        <v>200</v>
      </c>
      <c r="R13" s="4" t="s">
        <v>34</v>
      </c>
      <c r="S13" s="7"/>
    </row>
    <row r="14" ht="79.5" customHeight="1">
      <c r="A14" s="4" t="s">
        <v>201</v>
      </c>
      <c r="B14" s="4" t="s">
        <v>202</v>
      </c>
      <c r="C14" s="4" t="s">
        <v>203</v>
      </c>
      <c r="D14" s="4">
        <v>2024.0</v>
      </c>
      <c r="E14" s="4" t="s">
        <v>204</v>
      </c>
      <c r="F14" s="6" t="s">
        <v>205</v>
      </c>
      <c r="G14" s="4" t="s">
        <v>206</v>
      </c>
      <c r="H14" s="4" t="s">
        <v>207</v>
      </c>
      <c r="I14" s="4" t="s">
        <v>208</v>
      </c>
      <c r="J14" s="4" t="s">
        <v>209</v>
      </c>
      <c r="K14" s="4" t="s">
        <v>210</v>
      </c>
      <c r="L14" s="4" t="s">
        <v>211</v>
      </c>
      <c r="M14" s="4" t="s">
        <v>212</v>
      </c>
      <c r="N14" s="4" t="s">
        <v>213</v>
      </c>
      <c r="O14" s="4" t="s">
        <v>214</v>
      </c>
      <c r="P14" s="4" t="s">
        <v>215</v>
      </c>
      <c r="Q14" s="4" t="s">
        <v>216</v>
      </c>
      <c r="R14" s="4" t="s">
        <v>34</v>
      </c>
      <c r="S14" s="7"/>
    </row>
    <row r="15" ht="74.25" customHeight="1">
      <c r="A15" s="4" t="s">
        <v>217</v>
      </c>
      <c r="B15" s="4" t="s">
        <v>218</v>
      </c>
      <c r="C15" s="4" t="s">
        <v>173</v>
      </c>
      <c r="D15" s="4">
        <v>2024.0</v>
      </c>
      <c r="E15" s="4" t="s">
        <v>219</v>
      </c>
      <c r="F15" s="6" t="s">
        <v>220</v>
      </c>
      <c r="G15" s="4" t="s">
        <v>221</v>
      </c>
      <c r="H15" s="4" t="s">
        <v>222</v>
      </c>
      <c r="I15" s="4" t="s">
        <v>223</v>
      </c>
      <c r="J15" s="4" t="s">
        <v>224</v>
      </c>
      <c r="K15" s="4" t="s">
        <v>225</v>
      </c>
      <c r="L15" s="4" t="s">
        <v>226</v>
      </c>
      <c r="M15" s="4" t="s">
        <v>29</v>
      </c>
      <c r="N15" s="4" t="s">
        <v>227</v>
      </c>
      <c r="O15" s="4" t="s">
        <v>228</v>
      </c>
      <c r="P15" s="4" t="s">
        <v>229</v>
      </c>
      <c r="Q15" s="4" t="s">
        <v>230</v>
      </c>
      <c r="R15" s="4" t="s">
        <v>34</v>
      </c>
      <c r="S15" s="7"/>
    </row>
    <row r="16">
      <c r="A16" s="4" t="s">
        <v>231</v>
      </c>
      <c r="B16" s="4" t="s">
        <v>232</v>
      </c>
      <c r="C16" s="4" t="s">
        <v>233</v>
      </c>
      <c r="D16" s="4">
        <v>2025.0</v>
      </c>
      <c r="E16" s="4" t="s">
        <v>234</v>
      </c>
      <c r="F16" s="6" t="s">
        <v>232</v>
      </c>
      <c r="G16" s="4" t="s">
        <v>235</v>
      </c>
      <c r="H16" s="4" t="s">
        <v>236</v>
      </c>
      <c r="I16" s="4" t="s">
        <v>237</v>
      </c>
      <c r="J16" s="4" t="s">
        <v>238</v>
      </c>
      <c r="K16" s="4" t="s">
        <v>239</v>
      </c>
      <c r="L16" s="4" t="s">
        <v>240</v>
      </c>
      <c r="M16" s="4" t="s">
        <v>241</v>
      </c>
      <c r="N16" s="4" t="s">
        <v>242</v>
      </c>
      <c r="O16" s="4" t="s">
        <v>243</v>
      </c>
      <c r="P16" s="4" t="s">
        <v>244</v>
      </c>
      <c r="Q16" s="4" t="s">
        <v>245</v>
      </c>
      <c r="R16" s="4" t="s">
        <v>34</v>
      </c>
      <c r="S16" s="7"/>
      <c r="T16" s="7"/>
      <c r="U16" s="7"/>
      <c r="V16" s="7"/>
      <c r="W16" s="7"/>
      <c r="X16" s="7"/>
      <c r="Y16" s="7"/>
      <c r="Z16" s="7"/>
      <c r="AA16" s="7"/>
      <c r="AB16" s="7"/>
      <c r="AC16" s="7"/>
    </row>
    <row r="17">
      <c r="A17" s="4" t="s">
        <v>246</v>
      </c>
      <c r="B17" s="4" t="s">
        <v>247</v>
      </c>
      <c r="C17" s="4" t="s">
        <v>248</v>
      </c>
      <c r="D17" s="4">
        <v>2021.0</v>
      </c>
      <c r="E17" s="4" t="s">
        <v>249</v>
      </c>
      <c r="F17" s="6" t="s">
        <v>247</v>
      </c>
      <c r="G17" s="4" t="s">
        <v>250</v>
      </c>
      <c r="H17" s="4" t="s">
        <v>251</v>
      </c>
      <c r="I17" s="4" t="s">
        <v>252</v>
      </c>
      <c r="J17" s="4" t="s">
        <v>253</v>
      </c>
      <c r="K17" s="4" t="s">
        <v>254</v>
      </c>
      <c r="L17" s="4" t="s">
        <v>255</v>
      </c>
      <c r="M17" s="4" t="s">
        <v>29</v>
      </c>
      <c r="N17" s="4" t="s">
        <v>256</v>
      </c>
      <c r="O17" s="4" t="s">
        <v>257</v>
      </c>
      <c r="P17" s="4" t="s">
        <v>258</v>
      </c>
      <c r="Q17" s="4" t="s">
        <v>259</v>
      </c>
      <c r="R17" s="4" t="s">
        <v>34</v>
      </c>
      <c r="S17" s="7"/>
      <c r="T17" s="7"/>
      <c r="U17" s="7"/>
      <c r="V17" s="7"/>
      <c r="W17" s="7"/>
      <c r="X17" s="7"/>
      <c r="Y17" s="7"/>
      <c r="Z17" s="7"/>
      <c r="AA17" s="7"/>
      <c r="AB17" s="7"/>
      <c r="AC17" s="7"/>
    </row>
    <row r="18">
      <c r="A18" s="4" t="s">
        <v>260</v>
      </c>
      <c r="B18" s="4" t="s">
        <v>261</v>
      </c>
      <c r="C18" s="4" t="s">
        <v>262</v>
      </c>
      <c r="D18" s="4">
        <v>2025.0</v>
      </c>
      <c r="E18" s="4" t="s">
        <v>263</v>
      </c>
      <c r="F18" s="6" t="s">
        <v>264</v>
      </c>
      <c r="G18" s="4" t="s">
        <v>265</v>
      </c>
      <c r="H18" s="4" t="s">
        <v>266</v>
      </c>
      <c r="I18" s="4" t="s">
        <v>267</v>
      </c>
      <c r="J18" s="4" t="s">
        <v>268</v>
      </c>
      <c r="K18" s="4" t="s">
        <v>269</v>
      </c>
      <c r="L18" s="4" t="s">
        <v>270</v>
      </c>
      <c r="M18" s="4" t="s">
        <v>271</v>
      </c>
      <c r="N18" s="4" t="s">
        <v>272</v>
      </c>
      <c r="O18" s="4" t="s">
        <v>273</v>
      </c>
      <c r="P18" s="4" t="s">
        <v>274</v>
      </c>
      <c r="Q18" s="4" t="s">
        <v>275</v>
      </c>
      <c r="R18" s="4" t="s">
        <v>34</v>
      </c>
      <c r="S18" s="4" t="s">
        <v>276</v>
      </c>
      <c r="T18" s="7"/>
    </row>
    <row r="19">
      <c r="A19" s="4" t="s">
        <v>277</v>
      </c>
      <c r="B19" s="9" t="s">
        <v>278</v>
      </c>
      <c r="C19" s="4" t="s">
        <v>279</v>
      </c>
      <c r="D19" s="4">
        <v>2025.0</v>
      </c>
      <c r="E19" s="4" t="s">
        <v>280</v>
      </c>
      <c r="F19" s="6" t="s">
        <v>281</v>
      </c>
      <c r="G19" s="4" t="s">
        <v>282</v>
      </c>
      <c r="H19" s="4" t="s">
        <v>283</v>
      </c>
      <c r="I19" s="4" t="s">
        <v>284</v>
      </c>
      <c r="J19" s="4" t="s">
        <v>285</v>
      </c>
      <c r="K19" s="4" t="s">
        <v>286</v>
      </c>
      <c r="L19" s="4" t="s">
        <v>287</v>
      </c>
      <c r="M19" s="4" t="s">
        <v>29</v>
      </c>
      <c r="N19" s="4" t="s">
        <v>288</v>
      </c>
      <c r="O19" s="4" t="s">
        <v>289</v>
      </c>
      <c r="P19" s="4" t="s">
        <v>290</v>
      </c>
      <c r="Q19" s="4" t="s">
        <v>291</v>
      </c>
      <c r="R19" s="4" t="s">
        <v>34</v>
      </c>
      <c r="S19" s="4" t="s">
        <v>292</v>
      </c>
      <c r="T19" s="7"/>
    </row>
    <row r="20">
      <c r="A20" s="4" t="s">
        <v>293</v>
      </c>
      <c r="B20" s="4" t="s">
        <v>294</v>
      </c>
      <c r="C20" s="4" t="s">
        <v>295</v>
      </c>
      <c r="D20" s="4">
        <v>2025.0</v>
      </c>
      <c r="E20" s="4" t="s">
        <v>296</v>
      </c>
      <c r="F20" s="10" t="s">
        <v>297</v>
      </c>
      <c r="G20" s="4" t="s">
        <v>298</v>
      </c>
      <c r="H20" s="4" t="s">
        <v>299</v>
      </c>
      <c r="I20" s="4" t="s">
        <v>300</v>
      </c>
      <c r="J20" s="4" t="s">
        <v>301</v>
      </c>
      <c r="K20" s="4" t="s">
        <v>302</v>
      </c>
      <c r="L20" s="4" t="s">
        <v>303</v>
      </c>
      <c r="M20" s="4" t="s">
        <v>29</v>
      </c>
      <c r="N20" s="4" t="s">
        <v>304</v>
      </c>
      <c r="O20" s="4" t="s">
        <v>305</v>
      </c>
      <c r="P20" s="4" t="s">
        <v>306</v>
      </c>
      <c r="Q20" s="4" t="s">
        <v>307</v>
      </c>
      <c r="R20" s="4" t="s">
        <v>308</v>
      </c>
      <c r="S20" s="7"/>
      <c r="T20" s="7"/>
      <c r="U20" s="7"/>
      <c r="V20" s="7"/>
      <c r="W20" s="7"/>
      <c r="X20" s="7"/>
      <c r="Y20" s="7"/>
      <c r="Z20" s="7"/>
      <c r="AA20" s="7"/>
      <c r="AB20" s="7"/>
      <c r="AC20" s="7"/>
    </row>
    <row r="21">
      <c r="A21" s="11" t="s">
        <v>309</v>
      </c>
      <c r="B21" s="4" t="s">
        <v>310</v>
      </c>
      <c r="C21" s="4" t="s">
        <v>311</v>
      </c>
      <c r="D21" s="4">
        <v>2024.0</v>
      </c>
      <c r="E21" s="4" t="s">
        <v>312</v>
      </c>
      <c r="F21" s="10" t="s">
        <v>313</v>
      </c>
      <c r="G21" s="4" t="s">
        <v>314</v>
      </c>
      <c r="H21" s="4" t="s">
        <v>315</v>
      </c>
      <c r="I21" s="4" t="s">
        <v>316</v>
      </c>
      <c r="J21" s="4" t="s">
        <v>317</v>
      </c>
      <c r="K21" s="4" t="s">
        <v>318</v>
      </c>
      <c r="L21" s="4" t="s">
        <v>319</v>
      </c>
      <c r="M21" s="4" t="s">
        <v>29</v>
      </c>
      <c r="N21" s="4" t="s">
        <v>320</v>
      </c>
      <c r="O21" s="4" t="s">
        <v>321</v>
      </c>
      <c r="P21" s="4" t="s">
        <v>322</v>
      </c>
      <c r="Q21" s="4" t="s">
        <v>323</v>
      </c>
      <c r="R21" s="4" t="s">
        <v>96</v>
      </c>
      <c r="S21" s="7"/>
      <c r="T21" s="7"/>
      <c r="U21" s="7"/>
      <c r="V21" s="7"/>
      <c r="W21" s="7"/>
      <c r="X21" s="7"/>
      <c r="Y21" s="7"/>
      <c r="Z21" s="7"/>
      <c r="AA21" s="7"/>
      <c r="AB21" s="7"/>
      <c r="AC21" s="7"/>
    </row>
    <row r="22">
      <c r="A22" s="4" t="s">
        <v>324</v>
      </c>
      <c r="B22" s="4" t="s">
        <v>325</v>
      </c>
      <c r="C22" s="4" t="s">
        <v>311</v>
      </c>
      <c r="D22" s="4">
        <v>2025.0</v>
      </c>
      <c r="E22" s="4" t="s">
        <v>326</v>
      </c>
      <c r="F22" s="6" t="s">
        <v>327</v>
      </c>
      <c r="G22" s="4" t="s">
        <v>328</v>
      </c>
      <c r="H22" s="4" t="s">
        <v>329</v>
      </c>
      <c r="I22" s="4" t="s">
        <v>330</v>
      </c>
      <c r="J22" s="4" t="s">
        <v>331</v>
      </c>
      <c r="K22" s="4" t="s">
        <v>332</v>
      </c>
      <c r="L22" s="4" t="s">
        <v>333</v>
      </c>
      <c r="M22" s="4" t="s">
        <v>29</v>
      </c>
      <c r="N22" s="4" t="s">
        <v>334</v>
      </c>
      <c r="O22" s="4" t="s">
        <v>335</v>
      </c>
      <c r="P22" s="4" t="s">
        <v>336</v>
      </c>
      <c r="Q22" s="4" t="s">
        <v>337</v>
      </c>
      <c r="R22" s="4" t="s">
        <v>338</v>
      </c>
      <c r="S22" s="4" t="s">
        <v>276</v>
      </c>
      <c r="T22" s="7"/>
      <c r="U22" s="7"/>
      <c r="V22" s="7"/>
      <c r="W22" s="7"/>
      <c r="X22" s="7"/>
      <c r="Y22" s="7"/>
      <c r="Z22" s="7"/>
      <c r="AA22" s="7"/>
      <c r="AB22" s="7"/>
      <c r="AC22" s="7"/>
    </row>
    <row r="23">
      <c r="A23" s="4" t="s">
        <v>339</v>
      </c>
      <c r="B23" s="4" t="s">
        <v>340</v>
      </c>
      <c r="C23" s="4" t="s">
        <v>341</v>
      </c>
      <c r="D23" s="4">
        <v>2025.0</v>
      </c>
      <c r="E23" s="4" t="s">
        <v>342</v>
      </c>
      <c r="F23" s="6" t="s">
        <v>340</v>
      </c>
      <c r="G23" s="4" t="s">
        <v>343</v>
      </c>
      <c r="H23" s="4" t="s">
        <v>344</v>
      </c>
      <c r="I23" s="4" t="s">
        <v>345</v>
      </c>
      <c r="J23" s="4" t="s">
        <v>346</v>
      </c>
      <c r="K23" s="4" t="s">
        <v>347</v>
      </c>
      <c r="L23" s="4" t="s">
        <v>348</v>
      </c>
      <c r="M23" s="4" t="s">
        <v>29</v>
      </c>
      <c r="N23" s="4" t="s">
        <v>349</v>
      </c>
      <c r="O23" s="4" t="s">
        <v>350</v>
      </c>
      <c r="P23" s="4" t="s">
        <v>351</v>
      </c>
      <c r="Q23" s="4" t="s">
        <v>352</v>
      </c>
      <c r="R23" s="4" t="s">
        <v>65</v>
      </c>
      <c r="S23" s="4" t="s">
        <v>276</v>
      </c>
      <c r="T23" s="7"/>
      <c r="U23" s="7"/>
      <c r="V23" s="7"/>
    </row>
    <row r="24" ht="84.0" customHeight="1">
      <c r="A24" s="4" t="s">
        <v>353</v>
      </c>
      <c r="B24" s="4" t="s">
        <v>354</v>
      </c>
      <c r="C24" s="4" t="s">
        <v>355</v>
      </c>
      <c r="D24" s="4">
        <v>2025.0</v>
      </c>
      <c r="E24" s="4" t="s">
        <v>356</v>
      </c>
      <c r="F24" s="6" t="s">
        <v>357</v>
      </c>
      <c r="G24" s="4" t="s">
        <v>358</v>
      </c>
      <c r="H24" s="4" t="s">
        <v>359</v>
      </c>
      <c r="I24" s="4" t="s">
        <v>360</v>
      </c>
      <c r="J24" s="4" t="s">
        <v>361</v>
      </c>
      <c r="K24" s="4" t="s">
        <v>362</v>
      </c>
      <c r="L24" s="4" t="s">
        <v>363</v>
      </c>
      <c r="M24" s="4" t="s">
        <v>29</v>
      </c>
      <c r="N24" s="4" t="s">
        <v>364</v>
      </c>
      <c r="O24" s="4" t="s">
        <v>365</v>
      </c>
      <c r="P24" s="4" t="s">
        <v>366</v>
      </c>
      <c r="Q24" s="4" t="s">
        <v>367</v>
      </c>
      <c r="R24" s="4" t="s">
        <v>65</v>
      </c>
      <c r="S24" s="4" t="s">
        <v>276</v>
      </c>
      <c r="T24" s="7"/>
      <c r="U24" s="7"/>
      <c r="V24" s="7"/>
    </row>
    <row r="25" ht="70.5" customHeight="1">
      <c r="A25" s="4" t="s">
        <v>368</v>
      </c>
      <c r="B25" s="4" t="s">
        <v>369</v>
      </c>
      <c r="C25" s="4" t="s">
        <v>311</v>
      </c>
      <c r="D25" s="4">
        <v>2025.0</v>
      </c>
      <c r="E25" s="4" t="s">
        <v>370</v>
      </c>
      <c r="F25" s="6" t="s">
        <v>371</v>
      </c>
      <c r="G25" s="4" t="s">
        <v>372</v>
      </c>
      <c r="H25" s="4" t="s">
        <v>373</v>
      </c>
      <c r="I25" s="4" t="s">
        <v>374</v>
      </c>
      <c r="J25" s="4" t="s">
        <v>375</v>
      </c>
      <c r="K25" s="4" t="s">
        <v>376</v>
      </c>
      <c r="L25" s="4" t="s">
        <v>377</v>
      </c>
      <c r="M25" s="4" t="s">
        <v>29</v>
      </c>
      <c r="N25" s="4" t="s">
        <v>378</v>
      </c>
      <c r="O25" s="4" t="s">
        <v>379</v>
      </c>
      <c r="P25" s="4" t="s">
        <v>380</v>
      </c>
      <c r="Q25" s="4" t="s">
        <v>381</v>
      </c>
      <c r="R25" s="4" t="s">
        <v>65</v>
      </c>
      <c r="S25" s="7"/>
      <c r="T25" s="7"/>
      <c r="U25" s="7"/>
      <c r="V25" s="7"/>
    </row>
    <row r="26">
      <c r="A26" s="4" t="s">
        <v>382</v>
      </c>
      <c r="B26" s="4" t="s">
        <v>383</v>
      </c>
      <c r="C26" s="4" t="s">
        <v>311</v>
      </c>
      <c r="D26" s="4">
        <v>2025.0</v>
      </c>
      <c r="E26" s="4" t="s">
        <v>384</v>
      </c>
      <c r="F26" s="6" t="s">
        <v>385</v>
      </c>
      <c r="G26" s="4" t="s">
        <v>386</v>
      </c>
      <c r="H26" s="4" t="s">
        <v>387</v>
      </c>
      <c r="I26" s="4" t="s">
        <v>388</v>
      </c>
      <c r="J26" s="4" t="s">
        <v>389</v>
      </c>
      <c r="K26" s="4" t="s">
        <v>390</v>
      </c>
      <c r="L26" s="4" t="s">
        <v>391</v>
      </c>
      <c r="M26" s="4" t="s">
        <v>29</v>
      </c>
      <c r="N26" s="4" t="s">
        <v>392</v>
      </c>
      <c r="O26" s="4" t="s">
        <v>393</v>
      </c>
      <c r="P26" s="4" t="s">
        <v>394</v>
      </c>
      <c r="Q26" s="4" t="s">
        <v>395</v>
      </c>
      <c r="R26" s="4" t="s">
        <v>65</v>
      </c>
      <c r="S26" s="4" t="s">
        <v>396</v>
      </c>
      <c r="T26" s="7"/>
      <c r="U26" s="7"/>
      <c r="V26" s="7"/>
    </row>
    <row r="27">
      <c r="A27" s="4" t="s">
        <v>397</v>
      </c>
      <c r="B27" s="4" t="s">
        <v>398</v>
      </c>
      <c r="C27" s="4" t="s">
        <v>311</v>
      </c>
      <c r="D27" s="4">
        <v>2024.0</v>
      </c>
      <c r="E27" s="4" t="s">
        <v>399</v>
      </c>
      <c r="F27" s="6" t="s">
        <v>400</v>
      </c>
      <c r="G27" s="4" t="s">
        <v>401</v>
      </c>
      <c r="H27" s="4" t="s">
        <v>402</v>
      </c>
      <c r="I27" s="4" t="s">
        <v>403</v>
      </c>
      <c r="J27" s="4" t="s">
        <v>404</v>
      </c>
      <c r="K27" s="4" t="s">
        <v>405</v>
      </c>
      <c r="L27" s="4" t="s">
        <v>406</v>
      </c>
      <c r="M27" s="4" t="s">
        <v>29</v>
      </c>
      <c r="N27" s="4" t="s">
        <v>407</v>
      </c>
      <c r="O27" s="4" t="s">
        <v>408</v>
      </c>
      <c r="P27" s="4" t="s">
        <v>409</v>
      </c>
      <c r="Q27" s="4" t="s">
        <v>410</v>
      </c>
      <c r="R27" s="4" t="s">
        <v>65</v>
      </c>
      <c r="S27" s="7"/>
      <c r="T27" s="7"/>
      <c r="U27" s="7"/>
    </row>
    <row r="28">
      <c r="A28" s="4" t="s">
        <v>411</v>
      </c>
      <c r="B28" s="4" t="s">
        <v>412</v>
      </c>
      <c r="C28" s="4" t="s">
        <v>413</v>
      </c>
      <c r="D28" s="4">
        <v>2025.0</v>
      </c>
      <c r="E28" s="4" t="s">
        <v>414</v>
      </c>
      <c r="F28" s="6" t="s">
        <v>415</v>
      </c>
      <c r="G28" s="4" t="s">
        <v>416</v>
      </c>
      <c r="H28" s="4" t="s">
        <v>417</v>
      </c>
      <c r="I28" s="4" t="s">
        <v>418</v>
      </c>
      <c r="J28" s="4" t="s">
        <v>419</v>
      </c>
      <c r="K28" s="4" t="s">
        <v>420</v>
      </c>
      <c r="L28" s="4" t="s">
        <v>421</v>
      </c>
      <c r="M28" s="4" t="s">
        <v>29</v>
      </c>
      <c r="N28" s="4" t="s">
        <v>422</v>
      </c>
      <c r="O28" s="4" t="s">
        <v>423</v>
      </c>
      <c r="P28" s="4" t="s">
        <v>424</v>
      </c>
      <c r="Q28" s="4" t="s">
        <v>425</v>
      </c>
      <c r="R28" s="4" t="s">
        <v>65</v>
      </c>
      <c r="S28" s="12" t="s">
        <v>426</v>
      </c>
      <c r="T28" s="7"/>
      <c r="U28" s="7"/>
      <c r="V28" s="7"/>
      <c r="W28" s="7"/>
      <c r="X28" s="7"/>
      <c r="Y28" s="7"/>
      <c r="Z28" s="7"/>
      <c r="AA28" s="7"/>
      <c r="AB28" s="7"/>
      <c r="AC28" s="7"/>
    </row>
    <row r="29">
      <c r="A29" s="4" t="s">
        <v>427</v>
      </c>
      <c r="B29" s="4" t="s">
        <v>428</v>
      </c>
      <c r="C29" s="4" t="s">
        <v>429</v>
      </c>
      <c r="D29" s="4">
        <v>2024.0</v>
      </c>
      <c r="E29" s="4" t="s">
        <v>430</v>
      </c>
      <c r="F29" s="6" t="s">
        <v>428</v>
      </c>
      <c r="G29" s="4" t="s">
        <v>431</v>
      </c>
      <c r="H29" s="4" t="s">
        <v>432</v>
      </c>
      <c r="I29" s="4" t="s">
        <v>433</v>
      </c>
      <c r="J29" s="4" t="s">
        <v>434</v>
      </c>
      <c r="K29" s="4" t="s">
        <v>435</v>
      </c>
      <c r="L29" s="4" t="s">
        <v>436</v>
      </c>
      <c r="M29" s="4" t="s">
        <v>29</v>
      </c>
      <c r="N29" s="4" t="s">
        <v>437</v>
      </c>
      <c r="O29" s="4" t="s">
        <v>438</v>
      </c>
      <c r="P29" s="4" t="s">
        <v>439</v>
      </c>
      <c r="Q29" s="4" t="s">
        <v>440</v>
      </c>
      <c r="R29" s="4" t="s">
        <v>65</v>
      </c>
      <c r="S29" s="4" t="s">
        <v>292</v>
      </c>
      <c r="T29" s="7"/>
      <c r="U29" s="7"/>
    </row>
    <row r="30">
      <c r="A30" s="4" t="s">
        <v>441</v>
      </c>
      <c r="B30" s="4" t="s">
        <v>442</v>
      </c>
      <c r="C30" s="4" t="s">
        <v>443</v>
      </c>
      <c r="D30" s="4">
        <v>2025.0</v>
      </c>
      <c r="E30" s="4" t="s">
        <v>444</v>
      </c>
      <c r="F30" s="6" t="s">
        <v>445</v>
      </c>
      <c r="G30" s="4" t="s">
        <v>446</v>
      </c>
      <c r="H30" s="4" t="s">
        <v>447</v>
      </c>
      <c r="I30" s="4" t="s">
        <v>448</v>
      </c>
      <c r="J30" s="4" t="s">
        <v>449</v>
      </c>
      <c r="K30" s="4" t="s">
        <v>450</v>
      </c>
      <c r="L30" s="4" t="s">
        <v>451</v>
      </c>
      <c r="M30" s="4" t="s">
        <v>29</v>
      </c>
      <c r="N30" s="4" t="s">
        <v>452</v>
      </c>
      <c r="O30" s="4" t="s">
        <v>453</v>
      </c>
      <c r="P30" s="4" t="s">
        <v>454</v>
      </c>
      <c r="Q30" s="4" t="s">
        <v>455</v>
      </c>
      <c r="R30" s="4" t="s">
        <v>65</v>
      </c>
      <c r="S30" s="4" t="s">
        <v>276</v>
      </c>
      <c r="T30" s="7"/>
      <c r="U30" s="7"/>
      <c r="V30" s="7"/>
      <c r="W30" s="7"/>
      <c r="X30" s="7"/>
      <c r="Y30" s="7"/>
      <c r="Z30" s="7"/>
      <c r="AA30" s="7"/>
      <c r="AB30" s="7"/>
      <c r="AC30" s="7"/>
    </row>
    <row r="31">
      <c r="A31" s="4" t="s">
        <v>456</v>
      </c>
      <c r="B31" s="4" t="s">
        <v>457</v>
      </c>
      <c r="C31" s="4" t="s">
        <v>458</v>
      </c>
      <c r="D31" s="4">
        <v>2024.0</v>
      </c>
      <c r="E31" s="4" t="s">
        <v>459</v>
      </c>
      <c r="F31" s="6" t="s">
        <v>457</v>
      </c>
      <c r="G31" s="4" t="s">
        <v>460</v>
      </c>
      <c r="H31" s="4" t="s">
        <v>461</v>
      </c>
      <c r="I31" s="4" t="s">
        <v>462</v>
      </c>
      <c r="J31" s="4" t="s">
        <v>463</v>
      </c>
      <c r="K31" s="4" t="s">
        <v>464</v>
      </c>
      <c r="L31" s="4" t="s">
        <v>465</v>
      </c>
      <c r="M31" s="4" t="s">
        <v>466</v>
      </c>
      <c r="N31" s="4" t="s">
        <v>467</v>
      </c>
      <c r="O31" s="4" t="s">
        <v>468</v>
      </c>
      <c r="P31" s="4" t="s">
        <v>469</v>
      </c>
      <c r="Q31" s="4" t="s">
        <v>470</v>
      </c>
      <c r="R31" s="4" t="s">
        <v>65</v>
      </c>
      <c r="S31" s="13" t="s">
        <v>471</v>
      </c>
      <c r="T31" s="7"/>
      <c r="U31" s="7"/>
      <c r="V31" s="7"/>
      <c r="W31" s="7"/>
      <c r="X31" s="7"/>
      <c r="Y31" s="7"/>
      <c r="Z31" s="7"/>
      <c r="AA31" s="7"/>
      <c r="AB31" s="7"/>
      <c r="AC31" s="7"/>
    </row>
    <row r="32">
      <c r="A32" s="4" t="s">
        <v>472</v>
      </c>
      <c r="B32" s="4" t="s">
        <v>473</v>
      </c>
      <c r="C32" s="4" t="s">
        <v>474</v>
      </c>
      <c r="D32" s="4">
        <v>2025.0</v>
      </c>
      <c r="E32" s="4" t="s">
        <v>475</v>
      </c>
      <c r="F32" s="6" t="s">
        <v>476</v>
      </c>
      <c r="G32" s="4" t="s">
        <v>477</v>
      </c>
      <c r="H32" s="4" t="s">
        <v>478</v>
      </c>
      <c r="I32" s="4" t="s">
        <v>479</v>
      </c>
      <c r="J32" s="4" t="s">
        <v>480</v>
      </c>
      <c r="K32" s="4" t="s">
        <v>481</v>
      </c>
      <c r="L32" s="4" t="s">
        <v>482</v>
      </c>
      <c r="M32" s="4" t="s">
        <v>29</v>
      </c>
      <c r="N32" s="4" t="s">
        <v>483</v>
      </c>
      <c r="O32" s="4" t="s">
        <v>484</v>
      </c>
      <c r="P32" s="4" t="s">
        <v>485</v>
      </c>
      <c r="Q32" s="4" t="s">
        <v>486</v>
      </c>
      <c r="R32" s="4" t="s">
        <v>34</v>
      </c>
      <c r="S32" s="7"/>
      <c r="T32" s="7"/>
      <c r="U32" s="7"/>
      <c r="V32" s="7"/>
      <c r="W32" s="7"/>
      <c r="X32" s="7"/>
      <c r="Y32" s="7"/>
      <c r="Z32" s="7"/>
      <c r="AA32" s="7"/>
      <c r="AB32" s="7"/>
      <c r="AC32" s="7"/>
    </row>
    <row r="33" ht="112.5" customHeight="1">
      <c r="A33" s="4" t="s">
        <v>487</v>
      </c>
      <c r="B33" s="4" t="s">
        <v>488</v>
      </c>
      <c r="C33" s="4" t="s">
        <v>489</v>
      </c>
      <c r="D33" s="4">
        <v>2025.0</v>
      </c>
      <c r="E33" s="4" t="s">
        <v>490</v>
      </c>
      <c r="F33" s="6" t="s">
        <v>491</v>
      </c>
      <c r="G33" s="4" t="s">
        <v>492</v>
      </c>
      <c r="H33" s="4" t="s">
        <v>493</v>
      </c>
      <c r="I33" s="4" t="s">
        <v>494</v>
      </c>
      <c r="J33" s="4" t="s">
        <v>495</v>
      </c>
      <c r="K33" s="4" t="s">
        <v>496</v>
      </c>
      <c r="L33" s="4" t="s">
        <v>497</v>
      </c>
      <c r="M33" s="4" t="s">
        <v>29</v>
      </c>
      <c r="N33" s="4" t="s">
        <v>498</v>
      </c>
      <c r="O33" s="4" t="s">
        <v>499</v>
      </c>
      <c r="P33" s="4" t="s">
        <v>500</v>
      </c>
      <c r="Q33" s="4" t="s">
        <v>501</v>
      </c>
      <c r="R33" s="4" t="s">
        <v>308</v>
      </c>
      <c r="S33" s="7"/>
      <c r="T33" s="7"/>
      <c r="U33" s="7"/>
      <c r="V33" s="7"/>
      <c r="W33" s="7"/>
      <c r="X33" s="7"/>
      <c r="Y33" s="7"/>
      <c r="Z33" s="7"/>
      <c r="AA33" s="7"/>
      <c r="AB33" s="7"/>
      <c r="AC33" s="7"/>
    </row>
    <row r="34">
      <c r="A34" s="4" t="s">
        <v>502</v>
      </c>
      <c r="B34" s="4" t="s">
        <v>503</v>
      </c>
      <c r="C34" s="4" t="s">
        <v>504</v>
      </c>
      <c r="D34" s="4">
        <v>2024.0</v>
      </c>
      <c r="E34" s="4" t="s">
        <v>505</v>
      </c>
      <c r="F34" s="14" t="s">
        <v>506</v>
      </c>
      <c r="G34" s="4" t="s">
        <v>507</v>
      </c>
      <c r="H34" s="4" t="s">
        <v>508</v>
      </c>
      <c r="I34" s="4" t="s">
        <v>509</v>
      </c>
      <c r="J34" s="4" t="s">
        <v>510</v>
      </c>
      <c r="K34" s="4" t="s">
        <v>511</v>
      </c>
      <c r="L34" s="4" t="s">
        <v>512</v>
      </c>
      <c r="M34" s="4" t="s">
        <v>29</v>
      </c>
      <c r="N34" s="4" t="s">
        <v>513</v>
      </c>
      <c r="O34" s="4" t="s">
        <v>514</v>
      </c>
      <c r="P34" s="4" t="s">
        <v>515</v>
      </c>
      <c r="Q34" s="4" t="s">
        <v>516</v>
      </c>
      <c r="R34" s="4" t="s">
        <v>34</v>
      </c>
      <c r="S34" s="4" t="s">
        <v>292</v>
      </c>
      <c r="T34" s="7"/>
      <c r="U34" s="7"/>
      <c r="V34" s="7"/>
      <c r="W34" s="7"/>
      <c r="X34" s="7"/>
      <c r="Y34" s="7"/>
      <c r="Z34" s="7"/>
      <c r="AA34" s="7"/>
      <c r="AB34" s="7"/>
      <c r="AC34" s="7"/>
    </row>
    <row r="35">
      <c r="A35" s="4" t="s">
        <v>517</v>
      </c>
      <c r="B35" s="4" t="s">
        <v>518</v>
      </c>
      <c r="C35" s="4" t="s">
        <v>519</v>
      </c>
      <c r="D35" s="4">
        <v>2024.0</v>
      </c>
      <c r="E35" s="4" t="s">
        <v>520</v>
      </c>
      <c r="F35" s="14" t="s">
        <v>521</v>
      </c>
      <c r="G35" s="4" t="s">
        <v>522</v>
      </c>
      <c r="H35" s="4" t="s">
        <v>523</v>
      </c>
      <c r="I35" s="4" t="s">
        <v>524</v>
      </c>
      <c r="J35" s="4" t="s">
        <v>525</v>
      </c>
      <c r="K35" s="4" t="s">
        <v>526</v>
      </c>
      <c r="L35" s="4" t="s">
        <v>527</v>
      </c>
      <c r="M35" s="4" t="s">
        <v>29</v>
      </c>
      <c r="N35" s="4" t="s">
        <v>528</v>
      </c>
      <c r="O35" s="4" t="s">
        <v>529</v>
      </c>
      <c r="P35" s="4" t="s">
        <v>530</v>
      </c>
      <c r="Q35" s="4" t="s">
        <v>531</v>
      </c>
      <c r="R35" s="4" t="s">
        <v>34</v>
      </c>
      <c r="S35" s="4"/>
      <c r="T35" s="7"/>
      <c r="U35" s="7"/>
      <c r="V35" s="7"/>
      <c r="W35" s="7"/>
      <c r="X35" s="7"/>
      <c r="Y35" s="7"/>
      <c r="Z35" s="7"/>
      <c r="AA35" s="7"/>
      <c r="AB35" s="7"/>
      <c r="AC35" s="7"/>
    </row>
    <row r="36">
      <c r="A36" s="4" t="s">
        <v>532</v>
      </c>
      <c r="B36" s="4" t="s">
        <v>533</v>
      </c>
      <c r="C36" s="4" t="s">
        <v>534</v>
      </c>
      <c r="D36" s="4">
        <v>2024.0</v>
      </c>
      <c r="E36" s="4" t="s">
        <v>535</v>
      </c>
      <c r="F36" s="14" t="s">
        <v>533</v>
      </c>
      <c r="G36" s="4" t="s">
        <v>536</v>
      </c>
      <c r="H36" s="4" t="s">
        <v>537</v>
      </c>
      <c r="I36" s="4" t="s">
        <v>538</v>
      </c>
      <c r="J36" s="4" t="s">
        <v>539</v>
      </c>
      <c r="K36" s="4" t="s">
        <v>540</v>
      </c>
      <c r="L36" s="4" t="s">
        <v>541</v>
      </c>
      <c r="M36" s="4" t="s">
        <v>29</v>
      </c>
      <c r="N36" s="4" t="s">
        <v>542</v>
      </c>
      <c r="O36" s="4" t="s">
        <v>543</v>
      </c>
      <c r="P36" s="4" t="s">
        <v>544</v>
      </c>
      <c r="Q36" s="4" t="s">
        <v>545</v>
      </c>
      <c r="R36" s="4" t="s">
        <v>34</v>
      </c>
      <c r="S36" s="7"/>
      <c r="T36" s="7"/>
      <c r="U36" s="7"/>
      <c r="V36" s="7"/>
      <c r="W36" s="7"/>
      <c r="X36" s="7"/>
      <c r="Y36" s="7"/>
      <c r="Z36" s="7"/>
      <c r="AA36" s="7"/>
      <c r="AB36" s="7"/>
      <c r="AC36" s="7"/>
    </row>
    <row r="37">
      <c r="A37" s="4" t="s">
        <v>546</v>
      </c>
      <c r="B37" s="4" t="s">
        <v>547</v>
      </c>
      <c r="C37" s="4" t="s">
        <v>548</v>
      </c>
      <c r="D37" s="4">
        <v>2024.0</v>
      </c>
      <c r="E37" s="4" t="s">
        <v>549</v>
      </c>
      <c r="F37" s="14" t="s">
        <v>547</v>
      </c>
      <c r="G37" s="4" t="s">
        <v>550</v>
      </c>
      <c r="H37" s="4" t="s">
        <v>551</v>
      </c>
      <c r="I37" s="4" t="s">
        <v>552</v>
      </c>
      <c r="J37" s="4" t="s">
        <v>553</v>
      </c>
      <c r="K37" s="4" t="s">
        <v>554</v>
      </c>
      <c r="L37" s="4" t="s">
        <v>555</v>
      </c>
      <c r="M37" s="4" t="s">
        <v>29</v>
      </c>
      <c r="N37" s="4" t="s">
        <v>556</v>
      </c>
      <c r="O37" s="4" t="s">
        <v>557</v>
      </c>
      <c r="P37" s="4" t="s">
        <v>558</v>
      </c>
      <c r="Q37" s="4" t="s">
        <v>559</v>
      </c>
      <c r="R37" s="4" t="s">
        <v>34</v>
      </c>
      <c r="S37" s="7"/>
      <c r="T37" s="7"/>
      <c r="U37" s="7"/>
      <c r="V37" s="7"/>
      <c r="W37" s="7"/>
      <c r="X37" s="7"/>
      <c r="Y37" s="7"/>
      <c r="Z37" s="7"/>
      <c r="AA37" s="7"/>
      <c r="AB37" s="7"/>
      <c r="AC37" s="7"/>
    </row>
    <row r="38">
      <c r="A38" s="4" t="s">
        <v>560</v>
      </c>
      <c r="B38" s="4" t="s">
        <v>561</v>
      </c>
      <c r="C38" s="4" t="s">
        <v>562</v>
      </c>
      <c r="D38" s="4">
        <v>2025.0</v>
      </c>
      <c r="E38" s="4" t="s">
        <v>563</v>
      </c>
      <c r="F38" s="14" t="s">
        <v>561</v>
      </c>
      <c r="G38" s="4" t="s">
        <v>564</v>
      </c>
      <c r="H38" s="4" t="s">
        <v>565</v>
      </c>
      <c r="I38" s="4" t="s">
        <v>566</v>
      </c>
      <c r="J38" s="4" t="s">
        <v>567</v>
      </c>
      <c r="K38" s="4" t="s">
        <v>568</v>
      </c>
      <c r="L38" s="4" t="s">
        <v>569</v>
      </c>
      <c r="M38" s="4" t="s">
        <v>29</v>
      </c>
      <c r="N38" s="4" t="s">
        <v>570</v>
      </c>
      <c r="O38" s="4" t="s">
        <v>571</v>
      </c>
      <c r="P38" s="4" t="s">
        <v>572</v>
      </c>
      <c r="Q38" s="4" t="s">
        <v>573</v>
      </c>
      <c r="R38" s="4" t="s">
        <v>65</v>
      </c>
      <c r="S38" s="7"/>
      <c r="T38" s="7"/>
      <c r="U38" s="7"/>
      <c r="V38" s="7"/>
      <c r="W38" s="7"/>
      <c r="X38" s="7"/>
      <c r="Y38" s="7"/>
      <c r="Z38" s="7"/>
      <c r="AA38" s="7"/>
      <c r="AB38" s="7"/>
      <c r="AC38" s="7"/>
    </row>
    <row r="39">
      <c r="A39" s="4" t="s">
        <v>574</v>
      </c>
      <c r="B39" s="4" t="s">
        <v>575</v>
      </c>
      <c r="C39" s="4" t="s">
        <v>576</v>
      </c>
      <c r="D39" s="4">
        <v>2024.0</v>
      </c>
      <c r="E39" s="4" t="s">
        <v>577</v>
      </c>
      <c r="F39" s="14" t="s">
        <v>578</v>
      </c>
      <c r="G39" s="4" t="s">
        <v>579</v>
      </c>
      <c r="H39" s="4" t="s">
        <v>580</v>
      </c>
      <c r="I39" s="4" t="s">
        <v>581</v>
      </c>
      <c r="J39" s="4" t="s">
        <v>582</v>
      </c>
      <c r="K39" s="4" t="s">
        <v>583</v>
      </c>
      <c r="L39" s="4" t="s">
        <v>584</v>
      </c>
      <c r="M39" s="4" t="s">
        <v>29</v>
      </c>
      <c r="N39" s="4" t="s">
        <v>585</v>
      </c>
      <c r="O39" s="4" t="s">
        <v>586</v>
      </c>
      <c r="P39" s="4" t="s">
        <v>587</v>
      </c>
      <c r="Q39" s="4" t="s">
        <v>588</v>
      </c>
      <c r="R39" s="4" t="s">
        <v>65</v>
      </c>
      <c r="S39" s="7"/>
      <c r="T39" s="7"/>
      <c r="U39" s="7"/>
      <c r="V39" s="7"/>
      <c r="W39" s="7"/>
      <c r="X39" s="7"/>
      <c r="Y39" s="7"/>
      <c r="Z39" s="7"/>
      <c r="AA39" s="7"/>
      <c r="AB39" s="7"/>
      <c r="AC39" s="7"/>
    </row>
    <row r="40">
      <c r="A40" s="4" t="s">
        <v>589</v>
      </c>
      <c r="B40" s="4" t="s">
        <v>590</v>
      </c>
      <c r="C40" s="4" t="s">
        <v>591</v>
      </c>
      <c r="D40" s="4">
        <v>2024.0</v>
      </c>
      <c r="E40" s="4" t="s">
        <v>592</v>
      </c>
      <c r="F40" s="14" t="s">
        <v>593</v>
      </c>
      <c r="G40" s="4" t="s">
        <v>594</v>
      </c>
      <c r="H40" s="4" t="s">
        <v>595</v>
      </c>
      <c r="I40" s="4" t="s">
        <v>596</v>
      </c>
      <c r="J40" s="4" t="s">
        <v>597</v>
      </c>
      <c r="K40" s="4" t="s">
        <v>597</v>
      </c>
      <c r="L40" s="4" t="s">
        <v>598</v>
      </c>
      <c r="M40" s="4" t="s">
        <v>29</v>
      </c>
      <c r="N40" s="4" t="s">
        <v>599</v>
      </c>
      <c r="O40" s="4" t="s">
        <v>600</v>
      </c>
      <c r="P40" s="4" t="s">
        <v>601</v>
      </c>
      <c r="Q40" s="4" t="s">
        <v>602</v>
      </c>
      <c r="R40" s="4" t="s">
        <v>308</v>
      </c>
      <c r="S40" s="7"/>
      <c r="T40" s="7"/>
      <c r="U40" s="7"/>
      <c r="V40" s="7"/>
      <c r="W40" s="7"/>
      <c r="X40" s="7"/>
      <c r="Y40" s="7"/>
      <c r="Z40" s="7"/>
      <c r="AA40" s="7"/>
      <c r="AB40" s="7"/>
      <c r="AC40" s="7"/>
    </row>
    <row r="41">
      <c r="A41" s="4" t="s">
        <v>603</v>
      </c>
      <c r="B41" s="4" t="s">
        <v>604</v>
      </c>
      <c r="C41" s="4" t="s">
        <v>605</v>
      </c>
      <c r="D41" s="4">
        <v>2024.0</v>
      </c>
      <c r="E41" s="4" t="s">
        <v>606</v>
      </c>
      <c r="F41" s="14" t="s">
        <v>604</v>
      </c>
      <c r="G41" s="4" t="s">
        <v>607</v>
      </c>
      <c r="H41" s="4" t="s">
        <v>608</v>
      </c>
      <c r="I41" s="4" t="s">
        <v>609</v>
      </c>
      <c r="J41" s="4" t="s">
        <v>610</v>
      </c>
      <c r="K41" s="4" t="s">
        <v>611</v>
      </c>
      <c r="L41" s="4" t="s">
        <v>612</v>
      </c>
      <c r="M41" s="4" t="s">
        <v>29</v>
      </c>
      <c r="N41" s="4" t="s">
        <v>613</v>
      </c>
      <c r="O41" s="4" t="s">
        <v>614</v>
      </c>
      <c r="P41" s="4" t="s">
        <v>615</v>
      </c>
      <c r="Q41" s="4" t="s">
        <v>616</v>
      </c>
      <c r="R41" s="4" t="s">
        <v>96</v>
      </c>
      <c r="S41" s="7"/>
      <c r="T41" s="7"/>
      <c r="U41" s="7"/>
      <c r="V41" s="7"/>
      <c r="W41" s="7"/>
      <c r="X41" s="7"/>
      <c r="Y41" s="7"/>
      <c r="Z41" s="7"/>
      <c r="AA41" s="7"/>
      <c r="AB41" s="7"/>
      <c r="AC41" s="7"/>
    </row>
    <row r="42">
      <c r="A42" s="4" t="s">
        <v>617</v>
      </c>
      <c r="B42" s="4" t="s">
        <v>618</v>
      </c>
      <c r="C42" s="4" t="s">
        <v>619</v>
      </c>
      <c r="D42" s="4">
        <v>2025.0</v>
      </c>
      <c r="E42" s="4" t="s">
        <v>620</v>
      </c>
      <c r="F42" s="14" t="s">
        <v>621</v>
      </c>
      <c r="G42" s="4" t="s">
        <v>622</v>
      </c>
      <c r="H42" s="4" t="s">
        <v>623</v>
      </c>
      <c r="I42" s="4" t="s">
        <v>624</v>
      </c>
      <c r="J42" s="4" t="s">
        <v>597</v>
      </c>
      <c r="K42" s="4" t="s">
        <v>597</v>
      </c>
      <c r="L42" s="4" t="s">
        <v>625</v>
      </c>
      <c r="M42" s="4" t="s">
        <v>29</v>
      </c>
      <c r="N42" s="4" t="s">
        <v>626</v>
      </c>
      <c r="O42" s="4" t="s">
        <v>627</v>
      </c>
      <c r="P42" s="4" t="s">
        <v>628</v>
      </c>
      <c r="Q42" s="4" t="s">
        <v>629</v>
      </c>
      <c r="R42" s="4" t="s">
        <v>308</v>
      </c>
      <c r="S42" s="7"/>
      <c r="T42" s="7"/>
      <c r="U42" s="7"/>
      <c r="V42" s="7"/>
      <c r="W42" s="7"/>
      <c r="X42" s="7"/>
      <c r="Y42" s="7"/>
      <c r="Z42" s="7"/>
      <c r="AA42" s="7"/>
      <c r="AB42" s="7"/>
      <c r="AC42" s="7"/>
    </row>
    <row r="43">
      <c r="A43" s="4" t="s">
        <v>630</v>
      </c>
      <c r="B43" s="4" t="s">
        <v>631</v>
      </c>
      <c r="C43" s="4" t="s">
        <v>632</v>
      </c>
      <c r="D43" s="4">
        <v>2025.0</v>
      </c>
      <c r="E43" s="4" t="s">
        <v>633</v>
      </c>
      <c r="F43" s="14" t="s">
        <v>631</v>
      </c>
      <c r="G43" s="4" t="s">
        <v>634</v>
      </c>
      <c r="H43" s="4" t="s">
        <v>635</v>
      </c>
      <c r="I43" s="4" t="s">
        <v>636</v>
      </c>
      <c r="J43" s="4" t="s">
        <v>637</v>
      </c>
      <c r="K43" s="4" t="s">
        <v>638</v>
      </c>
      <c r="L43" s="4" t="s">
        <v>639</v>
      </c>
      <c r="M43" s="4" t="s">
        <v>640</v>
      </c>
      <c r="N43" s="4" t="s">
        <v>641</v>
      </c>
      <c r="O43" s="4" t="s">
        <v>642</v>
      </c>
      <c r="P43" s="4" t="s">
        <v>643</v>
      </c>
      <c r="Q43" s="4" t="s">
        <v>644</v>
      </c>
      <c r="R43" s="4" t="s">
        <v>338</v>
      </c>
      <c r="S43" s="7"/>
      <c r="T43" s="7"/>
      <c r="U43" s="7"/>
      <c r="V43" s="7"/>
      <c r="W43" s="7"/>
      <c r="X43" s="7"/>
      <c r="Y43" s="7"/>
      <c r="Z43" s="7"/>
      <c r="AA43" s="7"/>
      <c r="AB43" s="7"/>
      <c r="AC43" s="7"/>
    </row>
    <row r="44">
      <c r="A44" s="4" t="s">
        <v>645</v>
      </c>
      <c r="B44" s="4" t="s">
        <v>646</v>
      </c>
      <c r="C44" s="4" t="s">
        <v>647</v>
      </c>
      <c r="D44" s="4">
        <v>2025.0</v>
      </c>
      <c r="E44" s="4" t="s">
        <v>648</v>
      </c>
      <c r="F44" s="6" t="s">
        <v>646</v>
      </c>
      <c r="G44" s="4" t="s">
        <v>649</v>
      </c>
      <c r="H44" s="4" t="s">
        <v>650</v>
      </c>
      <c r="I44" s="4" t="s">
        <v>651</v>
      </c>
      <c r="J44" s="4" t="s">
        <v>652</v>
      </c>
      <c r="K44" s="4" t="s">
        <v>653</v>
      </c>
      <c r="L44" s="4" t="s">
        <v>654</v>
      </c>
      <c r="M44" s="4" t="s">
        <v>29</v>
      </c>
      <c r="N44" s="4" t="s">
        <v>655</v>
      </c>
      <c r="O44" s="4" t="s">
        <v>656</v>
      </c>
      <c r="P44" s="4" t="s">
        <v>657</v>
      </c>
      <c r="Q44" s="4" t="s">
        <v>658</v>
      </c>
      <c r="R44" s="4" t="s">
        <v>34</v>
      </c>
      <c r="S44" s="7"/>
      <c r="T44" s="7"/>
      <c r="U44" s="7"/>
      <c r="V44" s="7"/>
      <c r="W44" s="7"/>
      <c r="X44" s="7"/>
      <c r="Y44" s="7"/>
      <c r="Z44" s="7"/>
      <c r="AA44" s="7"/>
      <c r="AB44" s="7"/>
      <c r="AC44" s="7"/>
    </row>
    <row r="45">
      <c r="A45" s="4" t="s">
        <v>659</v>
      </c>
      <c r="B45" s="4" t="s">
        <v>660</v>
      </c>
      <c r="C45" s="4" t="s">
        <v>647</v>
      </c>
      <c r="D45" s="4">
        <v>2026.0</v>
      </c>
      <c r="E45" s="4" t="s">
        <v>661</v>
      </c>
      <c r="F45" s="6" t="s">
        <v>662</v>
      </c>
      <c r="G45" s="4" t="s">
        <v>663</v>
      </c>
      <c r="H45" s="4" t="s">
        <v>664</v>
      </c>
      <c r="I45" s="4" t="s">
        <v>665</v>
      </c>
      <c r="J45" s="4" t="s">
        <v>666</v>
      </c>
      <c r="K45" s="4" t="s">
        <v>667</v>
      </c>
      <c r="L45" s="4" t="s">
        <v>668</v>
      </c>
      <c r="M45" s="4" t="s">
        <v>29</v>
      </c>
      <c r="N45" s="4" t="s">
        <v>669</v>
      </c>
      <c r="O45" s="4" t="s">
        <v>670</v>
      </c>
      <c r="P45" s="4" t="s">
        <v>671</v>
      </c>
      <c r="Q45" s="4" t="s">
        <v>672</v>
      </c>
      <c r="R45" s="4" t="s">
        <v>96</v>
      </c>
      <c r="S45" s="7"/>
    </row>
    <row r="46">
      <c r="A46" s="4" t="s">
        <v>673</v>
      </c>
      <c r="B46" s="4" t="s">
        <v>674</v>
      </c>
      <c r="C46" s="4" t="s">
        <v>675</v>
      </c>
      <c r="D46" s="4">
        <v>2025.0</v>
      </c>
      <c r="E46" s="4" t="s">
        <v>676</v>
      </c>
      <c r="F46" s="6" t="s">
        <v>674</v>
      </c>
      <c r="G46" s="4" t="s">
        <v>677</v>
      </c>
      <c r="H46" s="4" t="s">
        <v>678</v>
      </c>
      <c r="I46" s="4" t="s">
        <v>679</v>
      </c>
      <c r="J46" s="4" t="s">
        <v>680</v>
      </c>
      <c r="K46" s="4" t="s">
        <v>681</v>
      </c>
      <c r="L46" s="4" t="s">
        <v>682</v>
      </c>
      <c r="M46" s="4" t="s">
        <v>29</v>
      </c>
      <c r="N46" s="4" t="s">
        <v>683</v>
      </c>
      <c r="O46" s="4" t="s">
        <v>684</v>
      </c>
      <c r="P46" s="4" t="s">
        <v>685</v>
      </c>
      <c r="Q46" s="4" t="s">
        <v>686</v>
      </c>
      <c r="R46" s="4" t="s">
        <v>338</v>
      </c>
      <c r="S46" s="7"/>
    </row>
    <row r="47">
      <c r="A47" s="4" t="s">
        <v>687</v>
      </c>
      <c r="B47" s="4" t="s">
        <v>688</v>
      </c>
      <c r="C47" s="4" t="s">
        <v>689</v>
      </c>
      <c r="D47" s="4">
        <v>2024.0</v>
      </c>
      <c r="E47" s="4" t="s">
        <v>690</v>
      </c>
      <c r="F47" s="6" t="s">
        <v>691</v>
      </c>
      <c r="G47" s="4" t="s">
        <v>692</v>
      </c>
      <c r="H47" s="4" t="s">
        <v>693</v>
      </c>
      <c r="I47" s="4" t="s">
        <v>694</v>
      </c>
      <c r="J47" s="4" t="s">
        <v>29</v>
      </c>
      <c r="K47" s="4" t="s">
        <v>29</v>
      </c>
      <c r="L47" s="4" t="s">
        <v>695</v>
      </c>
      <c r="M47" s="4" t="s">
        <v>29</v>
      </c>
      <c r="N47" s="4" t="s">
        <v>696</v>
      </c>
      <c r="O47" s="4" t="s">
        <v>697</v>
      </c>
      <c r="P47" s="4" t="s">
        <v>698</v>
      </c>
      <c r="Q47" s="4" t="s">
        <v>699</v>
      </c>
      <c r="R47" s="4" t="s">
        <v>338</v>
      </c>
      <c r="S47" s="7"/>
      <c r="T47" s="7"/>
      <c r="U47" s="7"/>
    </row>
    <row r="48">
      <c r="A48" s="4" t="s">
        <v>700</v>
      </c>
      <c r="B48" s="4" t="s">
        <v>701</v>
      </c>
      <c r="C48" s="4" t="s">
        <v>83</v>
      </c>
      <c r="D48" s="4">
        <v>2026.0</v>
      </c>
      <c r="E48" s="4" t="s">
        <v>702</v>
      </c>
      <c r="F48" s="6" t="s">
        <v>703</v>
      </c>
      <c r="G48" s="4" t="s">
        <v>704</v>
      </c>
      <c r="H48" s="4" t="s">
        <v>705</v>
      </c>
      <c r="I48" s="4" t="s">
        <v>706</v>
      </c>
      <c r="J48" s="4" t="s">
        <v>707</v>
      </c>
      <c r="K48" s="4" t="s">
        <v>708</v>
      </c>
      <c r="L48" s="4" t="s">
        <v>709</v>
      </c>
      <c r="M48" s="4" t="s">
        <v>29</v>
      </c>
      <c r="N48" s="4" t="s">
        <v>710</v>
      </c>
      <c r="O48" s="4" t="s">
        <v>711</v>
      </c>
      <c r="P48" s="4" t="s">
        <v>712</v>
      </c>
      <c r="Q48" s="4" t="s">
        <v>713</v>
      </c>
      <c r="R48" s="4" t="s">
        <v>34</v>
      </c>
      <c r="S48" s="7"/>
      <c r="T48" s="7"/>
      <c r="U48" s="7"/>
    </row>
    <row r="49">
      <c r="F49" s="15"/>
    </row>
    <row r="50">
      <c r="F50" s="15"/>
    </row>
    <row r="51">
      <c r="F51" s="15"/>
    </row>
    <row r="52">
      <c r="F52" s="15"/>
    </row>
    <row r="53">
      <c r="F53" s="15"/>
    </row>
    <row r="54">
      <c r="F54" s="15"/>
    </row>
    <row r="55">
      <c r="F55" s="15"/>
    </row>
    <row r="56">
      <c r="F56" s="15"/>
    </row>
    <row r="57">
      <c r="F57" s="15"/>
    </row>
    <row r="58">
      <c r="F58" s="15"/>
    </row>
    <row r="59">
      <c r="F59" s="15"/>
    </row>
    <row r="60">
      <c r="F60" s="15"/>
    </row>
    <row r="61">
      <c r="F61" s="15"/>
    </row>
    <row r="62">
      <c r="F62" s="15"/>
    </row>
    <row r="63">
      <c r="F63" s="15"/>
    </row>
    <row r="64">
      <c r="F64" s="15"/>
    </row>
    <row r="65">
      <c r="F65" s="15"/>
    </row>
    <row r="66">
      <c r="F66" s="15"/>
    </row>
    <row r="67">
      <c r="F67" s="15"/>
    </row>
    <row r="68">
      <c r="F68" s="15"/>
    </row>
    <row r="69">
      <c r="F69" s="15"/>
    </row>
    <row r="70">
      <c r="F70" s="15"/>
    </row>
    <row r="71">
      <c r="F71" s="15"/>
    </row>
    <row r="72">
      <c r="F72" s="15"/>
    </row>
    <row r="73">
      <c r="F73" s="15"/>
    </row>
    <row r="74">
      <c r="F74" s="15"/>
    </row>
    <row r="75">
      <c r="F75" s="15"/>
    </row>
    <row r="76">
      <c r="F76" s="15"/>
    </row>
    <row r="77">
      <c r="F77" s="15"/>
    </row>
    <row r="78">
      <c r="F78" s="15"/>
    </row>
    <row r="79">
      <c r="F79" s="15"/>
    </row>
    <row r="80">
      <c r="F80" s="15"/>
    </row>
    <row r="81">
      <c r="F81" s="15"/>
    </row>
    <row r="82">
      <c r="F82" s="15"/>
    </row>
    <row r="83">
      <c r="F83" s="15"/>
    </row>
    <row r="84">
      <c r="F84" s="15"/>
    </row>
    <row r="85">
      <c r="F85" s="15"/>
    </row>
    <row r="86">
      <c r="F86" s="15"/>
    </row>
    <row r="87">
      <c r="F87" s="15"/>
      <c r="S87" s="16"/>
    </row>
    <row r="88">
      <c r="F88" s="15"/>
    </row>
    <row r="89">
      <c r="F89" s="15"/>
    </row>
    <row r="90">
      <c r="F90" s="15"/>
    </row>
    <row r="91">
      <c r="F91" s="15"/>
    </row>
    <row r="92">
      <c r="F92" s="15"/>
    </row>
    <row r="93">
      <c r="F93" s="15"/>
    </row>
    <row r="94">
      <c r="F94" s="15"/>
    </row>
    <row r="95">
      <c r="F95" s="15"/>
    </row>
    <row r="96">
      <c r="F96" s="15"/>
    </row>
    <row r="97">
      <c r="F97" s="15"/>
    </row>
    <row r="98">
      <c r="F98" s="15"/>
    </row>
    <row r="99">
      <c r="F99" s="15"/>
    </row>
    <row r="100">
      <c r="F100" s="15"/>
    </row>
    <row r="101">
      <c r="F101" s="15"/>
    </row>
    <row r="102">
      <c r="F102" s="15"/>
    </row>
    <row r="103">
      <c r="F103" s="15"/>
    </row>
    <row r="104">
      <c r="F104" s="15"/>
    </row>
    <row r="105">
      <c r="F105" s="15"/>
    </row>
    <row r="106">
      <c r="F106" s="15"/>
    </row>
    <row r="107">
      <c r="F107" s="15"/>
    </row>
    <row r="108">
      <c r="F108" s="15"/>
    </row>
    <row r="109">
      <c r="F109" s="15"/>
    </row>
    <row r="110">
      <c r="F110" s="15"/>
    </row>
    <row r="111">
      <c r="F111" s="15"/>
    </row>
    <row r="112">
      <c r="F112" s="15"/>
    </row>
    <row r="113">
      <c r="F113" s="15"/>
    </row>
    <row r="114">
      <c r="F114" s="15"/>
    </row>
    <row r="115">
      <c r="F115" s="15"/>
    </row>
    <row r="116">
      <c r="F116" s="15"/>
    </row>
    <row r="117">
      <c r="F117" s="15"/>
    </row>
    <row r="118">
      <c r="F118" s="15"/>
    </row>
    <row r="119">
      <c r="F119" s="15"/>
    </row>
    <row r="120">
      <c r="F120" s="15"/>
    </row>
    <row r="121">
      <c r="F121" s="15"/>
    </row>
    <row r="122">
      <c r="F122" s="15"/>
    </row>
    <row r="123">
      <c r="F123" s="15"/>
    </row>
    <row r="124">
      <c r="F124" s="15"/>
    </row>
    <row r="125">
      <c r="F125" s="15"/>
    </row>
    <row r="126">
      <c r="F126" s="15"/>
    </row>
    <row r="127">
      <c r="F127" s="15"/>
    </row>
    <row r="128">
      <c r="F128" s="15"/>
    </row>
    <row r="129">
      <c r="F129" s="15"/>
    </row>
    <row r="130">
      <c r="F130" s="15"/>
    </row>
    <row r="131">
      <c r="F131" s="15"/>
    </row>
    <row r="132">
      <c r="F132" s="15"/>
    </row>
    <row r="133">
      <c r="F133" s="15"/>
    </row>
    <row r="134">
      <c r="F134" s="15"/>
    </row>
    <row r="135">
      <c r="F135" s="15"/>
    </row>
    <row r="136">
      <c r="F136" s="15"/>
    </row>
    <row r="137">
      <c r="F137" s="15"/>
    </row>
    <row r="138">
      <c r="F138" s="15"/>
    </row>
    <row r="139">
      <c r="F139" s="15"/>
    </row>
    <row r="140">
      <c r="F140" s="15"/>
    </row>
    <row r="141">
      <c r="F141" s="15"/>
    </row>
    <row r="142">
      <c r="F142" s="15"/>
    </row>
    <row r="143">
      <c r="F143" s="15"/>
    </row>
    <row r="144">
      <c r="F144" s="15"/>
    </row>
    <row r="145">
      <c r="F145" s="15"/>
    </row>
    <row r="146">
      <c r="F146" s="15"/>
    </row>
    <row r="147">
      <c r="F147" s="15"/>
    </row>
    <row r="148">
      <c r="F148" s="15"/>
    </row>
    <row r="149">
      <c r="F149" s="15"/>
    </row>
    <row r="150">
      <c r="F150" s="15"/>
    </row>
    <row r="151">
      <c r="F151" s="15"/>
    </row>
    <row r="152">
      <c r="F152" s="15"/>
    </row>
    <row r="153">
      <c r="F153" s="15"/>
    </row>
    <row r="154">
      <c r="F154" s="15"/>
    </row>
    <row r="155">
      <c r="F155" s="15"/>
    </row>
    <row r="156">
      <c r="F156" s="15"/>
    </row>
    <row r="157">
      <c r="F157" s="15"/>
    </row>
    <row r="158">
      <c r="F158" s="15"/>
    </row>
    <row r="159">
      <c r="F159" s="15"/>
    </row>
    <row r="160">
      <c r="F160" s="15"/>
    </row>
    <row r="161">
      <c r="F161" s="15"/>
    </row>
    <row r="162">
      <c r="F162" s="15"/>
    </row>
    <row r="163">
      <c r="F163" s="15"/>
    </row>
    <row r="164">
      <c r="F164" s="15"/>
    </row>
    <row r="165">
      <c r="F165" s="15"/>
    </row>
    <row r="166">
      <c r="F166" s="15"/>
    </row>
    <row r="167">
      <c r="F167" s="15"/>
    </row>
    <row r="168">
      <c r="F168" s="15"/>
    </row>
    <row r="169">
      <c r="F169" s="15"/>
    </row>
    <row r="170">
      <c r="F170" s="15"/>
    </row>
    <row r="171">
      <c r="F171" s="15"/>
    </row>
    <row r="172">
      <c r="F172" s="15"/>
    </row>
    <row r="173">
      <c r="F173" s="15"/>
    </row>
    <row r="174">
      <c r="F174" s="15"/>
    </row>
    <row r="175">
      <c r="F175" s="15"/>
    </row>
    <row r="176">
      <c r="F176" s="15"/>
    </row>
    <row r="177">
      <c r="F177" s="15"/>
    </row>
    <row r="178">
      <c r="F178" s="15"/>
    </row>
    <row r="179">
      <c r="F179" s="15"/>
    </row>
    <row r="180">
      <c r="F180" s="15"/>
    </row>
    <row r="181">
      <c r="F181" s="15"/>
    </row>
    <row r="182">
      <c r="F182" s="15"/>
    </row>
    <row r="183">
      <c r="F183" s="15"/>
    </row>
    <row r="184">
      <c r="F184" s="15"/>
    </row>
    <row r="185">
      <c r="F185" s="15"/>
    </row>
    <row r="186">
      <c r="F186" s="15"/>
    </row>
    <row r="187">
      <c r="F187" s="15"/>
    </row>
    <row r="188">
      <c r="F188" s="15"/>
    </row>
    <row r="189">
      <c r="F189" s="15"/>
    </row>
    <row r="190">
      <c r="F190" s="15"/>
    </row>
    <row r="191">
      <c r="F191" s="15"/>
    </row>
    <row r="192">
      <c r="F192" s="15"/>
    </row>
    <row r="193">
      <c r="F193" s="15"/>
    </row>
    <row r="194">
      <c r="F194" s="15"/>
    </row>
    <row r="195">
      <c r="F195" s="15"/>
    </row>
    <row r="196">
      <c r="F196" s="15"/>
    </row>
    <row r="197">
      <c r="F197" s="15"/>
    </row>
    <row r="198">
      <c r="F198" s="15"/>
    </row>
    <row r="199">
      <c r="F199" s="15"/>
    </row>
    <row r="200">
      <c r="F200" s="15"/>
    </row>
    <row r="201">
      <c r="F201" s="15"/>
    </row>
    <row r="202">
      <c r="F202" s="15"/>
    </row>
    <row r="203">
      <c r="F203" s="15"/>
    </row>
    <row r="204">
      <c r="F204" s="15"/>
    </row>
    <row r="205">
      <c r="F205" s="15"/>
    </row>
    <row r="206">
      <c r="F206" s="15"/>
    </row>
    <row r="207">
      <c r="F207" s="15"/>
    </row>
    <row r="208">
      <c r="F208" s="15"/>
    </row>
    <row r="209">
      <c r="F209" s="15"/>
    </row>
    <row r="210">
      <c r="F210" s="15"/>
    </row>
    <row r="211">
      <c r="F211" s="15"/>
    </row>
    <row r="212">
      <c r="F212" s="15"/>
    </row>
    <row r="213">
      <c r="F213" s="15"/>
    </row>
    <row r="214">
      <c r="F214" s="15"/>
    </row>
    <row r="215">
      <c r="F215" s="15"/>
    </row>
    <row r="216">
      <c r="F216" s="15"/>
    </row>
    <row r="217">
      <c r="F217" s="15"/>
    </row>
    <row r="218">
      <c r="F218" s="15"/>
    </row>
    <row r="219">
      <c r="F219" s="15"/>
    </row>
    <row r="220">
      <c r="F220" s="15"/>
    </row>
    <row r="221">
      <c r="F221" s="15"/>
    </row>
    <row r="222">
      <c r="F222" s="15"/>
    </row>
    <row r="223">
      <c r="F223" s="15"/>
    </row>
    <row r="224">
      <c r="F224" s="15"/>
    </row>
    <row r="225">
      <c r="F225" s="15"/>
    </row>
    <row r="226">
      <c r="F226" s="15"/>
    </row>
    <row r="227">
      <c r="F227" s="15"/>
    </row>
    <row r="228">
      <c r="F228" s="15"/>
    </row>
    <row r="229">
      <c r="F229" s="15"/>
    </row>
    <row r="230">
      <c r="F230" s="15"/>
    </row>
    <row r="231">
      <c r="F231" s="15"/>
    </row>
    <row r="232">
      <c r="F232" s="15"/>
    </row>
    <row r="233">
      <c r="F233" s="15"/>
    </row>
    <row r="234">
      <c r="F234" s="15"/>
    </row>
    <row r="235">
      <c r="F235" s="15"/>
    </row>
    <row r="236">
      <c r="F236" s="15"/>
    </row>
    <row r="237">
      <c r="F237" s="15"/>
    </row>
    <row r="238">
      <c r="F238" s="15"/>
    </row>
    <row r="239">
      <c r="F239" s="15"/>
    </row>
    <row r="240">
      <c r="F240" s="15"/>
    </row>
    <row r="241">
      <c r="F241" s="15"/>
    </row>
    <row r="242">
      <c r="F242" s="15"/>
    </row>
    <row r="243">
      <c r="F243" s="15"/>
    </row>
    <row r="244">
      <c r="F244" s="15"/>
    </row>
    <row r="245">
      <c r="F245" s="15"/>
    </row>
    <row r="246">
      <c r="F246" s="15"/>
    </row>
    <row r="247">
      <c r="F247" s="15"/>
    </row>
    <row r="248">
      <c r="F248" s="15"/>
    </row>
    <row r="249">
      <c r="F249" s="15"/>
    </row>
    <row r="250">
      <c r="F250" s="15"/>
    </row>
    <row r="251">
      <c r="F251" s="15"/>
    </row>
    <row r="252">
      <c r="F252" s="15"/>
    </row>
    <row r="253">
      <c r="F253" s="15"/>
    </row>
    <row r="254">
      <c r="F254" s="15"/>
    </row>
    <row r="255">
      <c r="F255" s="15"/>
    </row>
    <row r="256">
      <c r="F256" s="15"/>
    </row>
    <row r="257">
      <c r="F257" s="15"/>
    </row>
    <row r="258">
      <c r="F258" s="15"/>
    </row>
    <row r="259">
      <c r="F259" s="15"/>
    </row>
    <row r="260">
      <c r="F260" s="15"/>
    </row>
    <row r="261">
      <c r="F261" s="15"/>
    </row>
    <row r="262">
      <c r="F262" s="15"/>
    </row>
    <row r="263">
      <c r="F263" s="15"/>
    </row>
    <row r="264">
      <c r="F264" s="15"/>
    </row>
    <row r="265">
      <c r="F265" s="15"/>
    </row>
    <row r="266">
      <c r="F266" s="15"/>
    </row>
    <row r="267">
      <c r="F267" s="15"/>
    </row>
    <row r="268">
      <c r="F268" s="15"/>
    </row>
    <row r="269">
      <c r="F269" s="15"/>
    </row>
    <row r="270">
      <c r="F270" s="15"/>
    </row>
    <row r="271">
      <c r="F271" s="15"/>
    </row>
    <row r="272">
      <c r="F272" s="15"/>
    </row>
    <row r="273">
      <c r="F273" s="15"/>
    </row>
    <row r="274">
      <c r="F274" s="15"/>
    </row>
    <row r="275">
      <c r="F275" s="15"/>
    </row>
    <row r="276">
      <c r="F276" s="15"/>
    </row>
    <row r="277">
      <c r="F277" s="15"/>
    </row>
    <row r="278">
      <c r="F278" s="15"/>
    </row>
    <row r="279">
      <c r="F279" s="15"/>
    </row>
    <row r="280">
      <c r="F280" s="15"/>
    </row>
    <row r="281">
      <c r="F281" s="15"/>
    </row>
    <row r="282">
      <c r="F282" s="15"/>
    </row>
    <row r="283">
      <c r="F283" s="15"/>
    </row>
    <row r="284">
      <c r="F284" s="15"/>
    </row>
    <row r="285">
      <c r="F285" s="15"/>
    </row>
    <row r="286">
      <c r="F286" s="15"/>
    </row>
    <row r="287">
      <c r="F287" s="15"/>
    </row>
    <row r="288">
      <c r="F288" s="15"/>
    </row>
    <row r="289">
      <c r="F289" s="15"/>
    </row>
    <row r="290">
      <c r="F290" s="15"/>
    </row>
    <row r="291">
      <c r="F291" s="15"/>
    </row>
    <row r="292">
      <c r="F292" s="15"/>
    </row>
    <row r="293">
      <c r="F293" s="15"/>
    </row>
    <row r="294">
      <c r="F294" s="15"/>
    </row>
    <row r="295">
      <c r="F295" s="15"/>
    </row>
    <row r="296">
      <c r="F296" s="15"/>
    </row>
    <row r="297">
      <c r="F297" s="15"/>
    </row>
    <row r="298">
      <c r="F298" s="15"/>
    </row>
    <row r="299">
      <c r="F299" s="15"/>
    </row>
    <row r="300">
      <c r="F300" s="15"/>
    </row>
    <row r="301">
      <c r="F301" s="15"/>
    </row>
    <row r="302">
      <c r="F302" s="15"/>
    </row>
    <row r="303">
      <c r="F303" s="15"/>
    </row>
    <row r="304">
      <c r="F304" s="15"/>
    </row>
    <row r="305">
      <c r="F305" s="15"/>
    </row>
    <row r="306">
      <c r="F306" s="15"/>
    </row>
    <row r="307">
      <c r="F307" s="15"/>
    </row>
    <row r="308">
      <c r="F308" s="15"/>
    </row>
    <row r="309">
      <c r="F309" s="15"/>
    </row>
    <row r="310">
      <c r="F310" s="15"/>
    </row>
    <row r="311">
      <c r="F311" s="15"/>
    </row>
    <row r="312">
      <c r="F312" s="15"/>
    </row>
    <row r="313">
      <c r="F313" s="15"/>
    </row>
    <row r="314">
      <c r="F314" s="15"/>
    </row>
    <row r="315">
      <c r="F315" s="15"/>
    </row>
    <row r="316">
      <c r="F316" s="15"/>
    </row>
    <row r="317">
      <c r="F317" s="15"/>
    </row>
    <row r="318">
      <c r="F318" s="15"/>
    </row>
    <row r="319">
      <c r="F319" s="15"/>
    </row>
    <row r="320">
      <c r="F320" s="15"/>
    </row>
    <row r="321">
      <c r="F321" s="15"/>
    </row>
    <row r="322">
      <c r="F322" s="15"/>
    </row>
    <row r="323">
      <c r="F323" s="15"/>
    </row>
    <row r="324">
      <c r="F324" s="15"/>
    </row>
    <row r="325">
      <c r="F325" s="15"/>
    </row>
    <row r="326">
      <c r="F326" s="15"/>
    </row>
    <row r="327">
      <c r="F327" s="15"/>
    </row>
    <row r="328">
      <c r="F328" s="15"/>
    </row>
    <row r="329">
      <c r="F329" s="15"/>
    </row>
    <row r="330">
      <c r="F330" s="15"/>
    </row>
    <row r="331">
      <c r="F331" s="15"/>
    </row>
    <row r="332">
      <c r="F332" s="15"/>
    </row>
    <row r="333">
      <c r="F333" s="15"/>
    </row>
    <row r="334">
      <c r="F334" s="15"/>
    </row>
    <row r="335">
      <c r="F335" s="15"/>
    </row>
    <row r="336">
      <c r="F336" s="15"/>
    </row>
    <row r="337">
      <c r="F337" s="15"/>
    </row>
    <row r="338">
      <c r="F338" s="15"/>
    </row>
    <row r="339">
      <c r="F339" s="15"/>
    </row>
    <row r="340">
      <c r="F340" s="15"/>
    </row>
    <row r="341">
      <c r="F341" s="15"/>
    </row>
    <row r="342">
      <c r="F342" s="15"/>
    </row>
    <row r="343">
      <c r="F343" s="15"/>
    </row>
    <row r="344">
      <c r="F344" s="15"/>
    </row>
    <row r="345">
      <c r="F345" s="15"/>
    </row>
    <row r="346">
      <c r="F346" s="15"/>
    </row>
    <row r="347">
      <c r="F347" s="15"/>
    </row>
    <row r="348">
      <c r="F348" s="15"/>
    </row>
    <row r="349">
      <c r="F349" s="15"/>
    </row>
    <row r="350">
      <c r="F350" s="15"/>
    </row>
    <row r="351">
      <c r="F351" s="15"/>
    </row>
    <row r="352">
      <c r="F352" s="15"/>
    </row>
    <row r="353">
      <c r="F353" s="15"/>
    </row>
    <row r="354">
      <c r="F354" s="15"/>
    </row>
    <row r="355">
      <c r="F355" s="15"/>
    </row>
    <row r="356">
      <c r="F356" s="15"/>
    </row>
    <row r="357">
      <c r="F357" s="15"/>
    </row>
    <row r="358">
      <c r="F358" s="15"/>
    </row>
    <row r="359">
      <c r="F359" s="15"/>
    </row>
    <row r="360">
      <c r="F360" s="15"/>
    </row>
    <row r="361">
      <c r="F361" s="15"/>
    </row>
    <row r="362">
      <c r="F362" s="15"/>
    </row>
    <row r="363">
      <c r="F363" s="15"/>
    </row>
    <row r="364">
      <c r="F364" s="15"/>
    </row>
    <row r="365">
      <c r="F365" s="15"/>
    </row>
    <row r="366">
      <c r="F366" s="15"/>
    </row>
    <row r="367">
      <c r="F367" s="15"/>
    </row>
    <row r="368">
      <c r="F368" s="15"/>
    </row>
    <row r="369">
      <c r="F369" s="15"/>
    </row>
    <row r="370">
      <c r="F370" s="15"/>
    </row>
    <row r="371">
      <c r="F371" s="15"/>
    </row>
    <row r="372">
      <c r="F372" s="15"/>
    </row>
    <row r="373">
      <c r="F373" s="15"/>
    </row>
    <row r="374">
      <c r="F374" s="15"/>
    </row>
    <row r="375">
      <c r="F375" s="15"/>
    </row>
    <row r="376">
      <c r="F376" s="15"/>
    </row>
    <row r="377">
      <c r="F377" s="15"/>
    </row>
    <row r="378">
      <c r="F378" s="15"/>
    </row>
    <row r="379">
      <c r="F379" s="15"/>
    </row>
    <row r="380">
      <c r="F380" s="15"/>
    </row>
    <row r="381">
      <c r="F381" s="15"/>
    </row>
    <row r="382">
      <c r="F382" s="15"/>
    </row>
    <row r="383">
      <c r="F383" s="15"/>
    </row>
    <row r="384">
      <c r="F384" s="15"/>
    </row>
    <row r="385">
      <c r="F385" s="15"/>
    </row>
    <row r="386">
      <c r="F386" s="15"/>
    </row>
    <row r="387">
      <c r="F387" s="15"/>
    </row>
    <row r="388">
      <c r="F388" s="15"/>
    </row>
    <row r="389">
      <c r="F389" s="15"/>
    </row>
    <row r="390">
      <c r="F390" s="15"/>
    </row>
    <row r="391">
      <c r="F391" s="15"/>
    </row>
    <row r="392">
      <c r="F392" s="15"/>
    </row>
    <row r="393">
      <c r="F393" s="15"/>
    </row>
    <row r="394">
      <c r="F394" s="15"/>
    </row>
    <row r="395">
      <c r="F395" s="15"/>
    </row>
    <row r="396">
      <c r="F396" s="15"/>
    </row>
    <row r="397">
      <c r="F397" s="15"/>
    </row>
    <row r="398">
      <c r="F398" s="15"/>
    </row>
    <row r="399">
      <c r="F399" s="15"/>
    </row>
    <row r="400">
      <c r="F400" s="15"/>
    </row>
    <row r="401">
      <c r="F401" s="15"/>
    </row>
    <row r="402">
      <c r="F402" s="15"/>
    </row>
    <row r="403">
      <c r="F403" s="15"/>
    </row>
    <row r="404">
      <c r="F404" s="15"/>
    </row>
    <row r="405">
      <c r="F405" s="15"/>
    </row>
    <row r="406">
      <c r="F406" s="15"/>
    </row>
    <row r="407">
      <c r="F407" s="15"/>
    </row>
    <row r="408">
      <c r="F408" s="15"/>
    </row>
    <row r="409">
      <c r="F409" s="15"/>
    </row>
    <row r="410">
      <c r="F410" s="15"/>
    </row>
    <row r="411">
      <c r="F411" s="15"/>
    </row>
    <row r="412">
      <c r="F412" s="15"/>
    </row>
    <row r="413">
      <c r="F413" s="15"/>
    </row>
    <row r="414">
      <c r="F414" s="15"/>
    </row>
    <row r="415">
      <c r="F415" s="15"/>
    </row>
    <row r="416">
      <c r="F416" s="15"/>
    </row>
    <row r="417">
      <c r="F417" s="15"/>
    </row>
    <row r="418">
      <c r="F418" s="15"/>
    </row>
    <row r="419">
      <c r="F419" s="15"/>
    </row>
    <row r="420">
      <c r="F420" s="15"/>
    </row>
    <row r="421">
      <c r="F421" s="15"/>
    </row>
    <row r="422">
      <c r="F422" s="15"/>
    </row>
    <row r="423">
      <c r="F423" s="15"/>
    </row>
    <row r="424">
      <c r="F424" s="15"/>
    </row>
    <row r="425">
      <c r="F425" s="15"/>
    </row>
    <row r="426">
      <c r="F426" s="15"/>
    </row>
    <row r="427">
      <c r="F427" s="15"/>
    </row>
    <row r="428">
      <c r="F428" s="15"/>
    </row>
    <row r="429">
      <c r="F429" s="15"/>
    </row>
    <row r="430">
      <c r="F430" s="15"/>
    </row>
    <row r="431">
      <c r="F431" s="15"/>
    </row>
    <row r="432">
      <c r="F432" s="15"/>
    </row>
    <row r="433">
      <c r="F433" s="15"/>
    </row>
    <row r="434">
      <c r="F434" s="15"/>
    </row>
    <row r="435">
      <c r="F435" s="15"/>
    </row>
    <row r="436">
      <c r="F436" s="15"/>
    </row>
    <row r="437">
      <c r="F437" s="15"/>
    </row>
    <row r="438">
      <c r="F438" s="15"/>
    </row>
    <row r="439">
      <c r="F439" s="15"/>
    </row>
    <row r="440">
      <c r="F440" s="15"/>
    </row>
    <row r="441">
      <c r="F441" s="15"/>
    </row>
    <row r="442">
      <c r="F442" s="15"/>
    </row>
    <row r="443">
      <c r="F443" s="15"/>
    </row>
    <row r="444">
      <c r="F444" s="15"/>
    </row>
    <row r="445">
      <c r="F445" s="15"/>
    </row>
    <row r="446">
      <c r="F446" s="15"/>
    </row>
    <row r="447">
      <c r="F447" s="15"/>
    </row>
    <row r="448">
      <c r="F448" s="15"/>
    </row>
    <row r="449">
      <c r="F449" s="15"/>
    </row>
    <row r="450">
      <c r="F450" s="15"/>
    </row>
    <row r="451">
      <c r="F451" s="15"/>
    </row>
    <row r="452">
      <c r="F452" s="15"/>
    </row>
    <row r="453">
      <c r="F453" s="15"/>
    </row>
    <row r="454">
      <c r="F454" s="15"/>
    </row>
    <row r="455">
      <c r="F455" s="15"/>
    </row>
    <row r="456">
      <c r="F456" s="15"/>
    </row>
    <row r="457">
      <c r="F457" s="15"/>
    </row>
    <row r="458">
      <c r="F458" s="15"/>
    </row>
    <row r="459">
      <c r="F459" s="15"/>
    </row>
    <row r="460">
      <c r="F460" s="15"/>
    </row>
    <row r="461">
      <c r="F461" s="15"/>
    </row>
    <row r="462">
      <c r="F462" s="15"/>
    </row>
    <row r="463">
      <c r="F463" s="15"/>
    </row>
    <row r="464">
      <c r="F464" s="15"/>
    </row>
    <row r="465">
      <c r="F465" s="15"/>
    </row>
    <row r="466">
      <c r="F466" s="15"/>
    </row>
    <row r="467">
      <c r="F467" s="15"/>
    </row>
    <row r="468">
      <c r="F468" s="15"/>
    </row>
    <row r="469">
      <c r="F469" s="15"/>
    </row>
    <row r="470">
      <c r="F470" s="15"/>
    </row>
    <row r="471">
      <c r="F471" s="15"/>
    </row>
    <row r="472">
      <c r="F472" s="15"/>
    </row>
    <row r="473">
      <c r="F473" s="15"/>
    </row>
    <row r="474">
      <c r="F474" s="15"/>
    </row>
    <row r="475">
      <c r="F475" s="15"/>
    </row>
    <row r="476">
      <c r="F476" s="15"/>
    </row>
    <row r="477">
      <c r="F477" s="15"/>
    </row>
    <row r="478">
      <c r="F478" s="15"/>
    </row>
    <row r="479">
      <c r="F479" s="15"/>
    </row>
    <row r="480">
      <c r="F480" s="15"/>
    </row>
    <row r="481">
      <c r="F481" s="15"/>
    </row>
    <row r="482">
      <c r="F482" s="15"/>
    </row>
    <row r="483">
      <c r="F483" s="15"/>
    </row>
    <row r="484">
      <c r="F484" s="15"/>
    </row>
    <row r="485">
      <c r="F485" s="15"/>
    </row>
    <row r="486">
      <c r="F486" s="15"/>
    </row>
    <row r="487">
      <c r="F487" s="15"/>
    </row>
    <row r="488">
      <c r="F488" s="15"/>
    </row>
    <row r="489">
      <c r="F489" s="15"/>
    </row>
    <row r="490">
      <c r="F490" s="15"/>
    </row>
    <row r="491">
      <c r="F491" s="15"/>
    </row>
    <row r="492">
      <c r="F492" s="15"/>
    </row>
    <row r="493">
      <c r="F493" s="15"/>
    </row>
    <row r="494">
      <c r="F494" s="15"/>
    </row>
    <row r="495">
      <c r="F495" s="15"/>
    </row>
    <row r="496">
      <c r="F496" s="15"/>
    </row>
    <row r="497">
      <c r="F497" s="15"/>
    </row>
    <row r="498">
      <c r="F498" s="15"/>
    </row>
    <row r="499">
      <c r="F499" s="15"/>
    </row>
    <row r="500">
      <c r="F500" s="15"/>
    </row>
    <row r="501">
      <c r="F501" s="15"/>
    </row>
    <row r="502">
      <c r="F502" s="15"/>
    </row>
    <row r="503">
      <c r="F503" s="15"/>
    </row>
    <row r="504">
      <c r="F504" s="15"/>
    </row>
    <row r="505">
      <c r="F505" s="15"/>
    </row>
    <row r="506">
      <c r="F506" s="15"/>
    </row>
    <row r="507">
      <c r="F507" s="15"/>
    </row>
    <row r="508">
      <c r="F508" s="15"/>
    </row>
    <row r="509">
      <c r="F509" s="15"/>
    </row>
    <row r="510">
      <c r="F510" s="15"/>
    </row>
    <row r="511">
      <c r="F511" s="15"/>
    </row>
    <row r="512">
      <c r="F512" s="15"/>
    </row>
    <row r="513">
      <c r="F513" s="15"/>
    </row>
    <row r="514">
      <c r="F514" s="15"/>
    </row>
    <row r="515">
      <c r="F515" s="15"/>
    </row>
    <row r="516">
      <c r="F516" s="15"/>
    </row>
    <row r="517">
      <c r="F517" s="15"/>
    </row>
    <row r="518">
      <c r="F518" s="15"/>
    </row>
    <row r="519">
      <c r="F519" s="15"/>
    </row>
    <row r="520">
      <c r="F520" s="15"/>
    </row>
    <row r="521">
      <c r="F521" s="15"/>
    </row>
    <row r="522">
      <c r="F522" s="15"/>
    </row>
    <row r="523">
      <c r="F523" s="15"/>
    </row>
    <row r="524">
      <c r="F524" s="15"/>
    </row>
    <row r="525">
      <c r="F525" s="15"/>
    </row>
    <row r="526">
      <c r="F526" s="15"/>
    </row>
    <row r="527">
      <c r="F527" s="15"/>
    </row>
    <row r="528">
      <c r="F528" s="15"/>
    </row>
    <row r="529">
      <c r="F529" s="15"/>
    </row>
    <row r="530">
      <c r="F530" s="15"/>
    </row>
    <row r="531">
      <c r="F531" s="15"/>
    </row>
    <row r="532">
      <c r="F532" s="15"/>
    </row>
    <row r="533">
      <c r="F533" s="15"/>
    </row>
    <row r="534">
      <c r="F534" s="15"/>
    </row>
    <row r="535">
      <c r="F535" s="15"/>
    </row>
    <row r="536">
      <c r="F536" s="15"/>
    </row>
    <row r="537">
      <c r="F537" s="15"/>
    </row>
    <row r="538">
      <c r="F538" s="15"/>
    </row>
    <row r="539">
      <c r="F539" s="15"/>
    </row>
    <row r="540">
      <c r="F540" s="15"/>
    </row>
    <row r="541">
      <c r="F541" s="15"/>
    </row>
    <row r="542">
      <c r="F542" s="15"/>
    </row>
    <row r="543">
      <c r="F543" s="15"/>
    </row>
    <row r="544">
      <c r="F544" s="15"/>
    </row>
    <row r="545">
      <c r="F545" s="15"/>
    </row>
    <row r="546">
      <c r="F546" s="15"/>
    </row>
    <row r="547">
      <c r="F547" s="15"/>
    </row>
    <row r="548">
      <c r="F548" s="15"/>
    </row>
    <row r="549">
      <c r="F549" s="15"/>
    </row>
    <row r="550">
      <c r="F550" s="15"/>
    </row>
    <row r="551">
      <c r="F551" s="15"/>
    </row>
    <row r="552">
      <c r="F552" s="15"/>
    </row>
    <row r="553">
      <c r="F553" s="15"/>
    </row>
    <row r="554">
      <c r="F554" s="15"/>
    </row>
    <row r="555">
      <c r="F555" s="15"/>
    </row>
    <row r="556">
      <c r="F556" s="15"/>
    </row>
    <row r="557">
      <c r="F557" s="15"/>
    </row>
    <row r="558">
      <c r="F558" s="15"/>
    </row>
    <row r="559">
      <c r="F559" s="15"/>
    </row>
    <row r="560">
      <c r="F560" s="15"/>
    </row>
    <row r="561">
      <c r="F561" s="15"/>
    </row>
    <row r="562">
      <c r="F562" s="15"/>
    </row>
    <row r="563">
      <c r="F563" s="15"/>
    </row>
    <row r="564">
      <c r="F564" s="15"/>
    </row>
    <row r="565">
      <c r="F565" s="15"/>
    </row>
    <row r="566">
      <c r="F566" s="15"/>
    </row>
    <row r="567">
      <c r="F567" s="15"/>
    </row>
    <row r="568">
      <c r="F568" s="15"/>
    </row>
    <row r="569">
      <c r="F569" s="15"/>
    </row>
    <row r="570">
      <c r="F570" s="15"/>
    </row>
    <row r="571">
      <c r="F571" s="15"/>
    </row>
    <row r="572">
      <c r="F572" s="15"/>
    </row>
    <row r="573">
      <c r="F573" s="15"/>
    </row>
    <row r="574">
      <c r="F574" s="15"/>
    </row>
    <row r="575">
      <c r="F575" s="15"/>
    </row>
    <row r="576">
      <c r="F576" s="15"/>
    </row>
    <row r="577">
      <c r="F577" s="15"/>
    </row>
    <row r="578">
      <c r="F578" s="15"/>
    </row>
    <row r="579">
      <c r="F579" s="15"/>
    </row>
    <row r="580">
      <c r="F580" s="15"/>
    </row>
    <row r="581">
      <c r="F581" s="15"/>
    </row>
    <row r="582">
      <c r="F582" s="15"/>
    </row>
    <row r="583">
      <c r="F583" s="15"/>
    </row>
    <row r="584">
      <c r="F584" s="15"/>
    </row>
    <row r="585">
      <c r="F585" s="15"/>
    </row>
    <row r="586">
      <c r="F586" s="15"/>
    </row>
    <row r="587">
      <c r="F587" s="15"/>
    </row>
    <row r="588">
      <c r="F588" s="15"/>
    </row>
    <row r="589">
      <c r="F589" s="15"/>
    </row>
    <row r="590">
      <c r="F590" s="15"/>
    </row>
    <row r="591">
      <c r="F591" s="15"/>
    </row>
    <row r="592">
      <c r="F592" s="15"/>
    </row>
    <row r="593">
      <c r="F593" s="15"/>
    </row>
    <row r="594">
      <c r="F594" s="15"/>
    </row>
    <row r="595">
      <c r="F595" s="15"/>
    </row>
    <row r="596">
      <c r="F596" s="15"/>
    </row>
    <row r="597">
      <c r="F597" s="15"/>
    </row>
    <row r="598">
      <c r="F598" s="15"/>
    </row>
    <row r="599">
      <c r="F599" s="15"/>
    </row>
    <row r="600">
      <c r="F600" s="15"/>
    </row>
    <row r="601">
      <c r="F601" s="15"/>
    </row>
    <row r="602">
      <c r="F602" s="15"/>
    </row>
    <row r="603">
      <c r="F603" s="15"/>
    </row>
    <row r="604">
      <c r="F604" s="15"/>
    </row>
    <row r="605">
      <c r="F605" s="15"/>
    </row>
    <row r="606">
      <c r="F606" s="15"/>
    </row>
    <row r="607">
      <c r="F607" s="15"/>
    </row>
    <row r="608">
      <c r="F608" s="15"/>
    </row>
    <row r="609">
      <c r="F609" s="15"/>
    </row>
    <row r="610">
      <c r="F610" s="15"/>
    </row>
    <row r="611">
      <c r="F611" s="15"/>
    </row>
    <row r="612">
      <c r="F612" s="15"/>
    </row>
    <row r="613">
      <c r="F613" s="15"/>
    </row>
    <row r="614">
      <c r="F614" s="15"/>
    </row>
    <row r="615">
      <c r="F615" s="15"/>
    </row>
    <row r="616">
      <c r="F616" s="15"/>
    </row>
    <row r="617">
      <c r="F617" s="15"/>
    </row>
    <row r="618">
      <c r="F618" s="15"/>
    </row>
    <row r="619">
      <c r="F619" s="15"/>
    </row>
    <row r="620">
      <c r="F620" s="15"/>
    </row>
    <row r="621">
      <c r="F621" s="15"/>
    </row>
    <row r="622">
      <c r="F622" s="15"/>
    </row>
    <row r="623">
      <c r="F623" s="15"/>
    </row>
    <row r="624">
      <c r="F624" s="15"/>
    </row>
    <row r="625">
      <c r="F625" s="15"/>
    </row>
    <row r="626">
      <c r="F626" s="15"/>
    </row>
    <row r="627">
      <c r="F627" s="15"/>
    </row>
    <row r="628">
      <c r="F628" s="15"/>
    </row>
    <row r="629">
      <c r="F629" s="15"/>
    </row>
    <row r="630">
      <c r="F630" s="15"/>
    </row>
    <row r="631">
      <c r="F631" s="15"/>
    </row>
    <row r="632">
      <c r="F632" s="15"/>
    </row>
    <row r="633">
      <c r="F633" s="15"/>
    </row>
    <row r="634">
      <c r="F634" s="15"/>
    </row>
    <row r="635">
      <c r="F635" s="15"/>
    </row>
    <row r="636">
      <c r="F636" s="15"/>
    </row>
    <row r="637">
      <c r="F637" s="15"/>
    </row>
    <row r="638">
      <c r="F638" s="15"/>
    </row>
    <row r="639">
      <c r="F639" s="15"/>
    </row>
    <row r="640">
      <c r="F640" s="15"/>
    </row>
    <row r="641">
      <c r="F641" s="15"/>
    </row>
    <row r="642">
      <c r="F642" s="15"/>
    </row>
    <row r="643">
      <c r="F643" s="15"/>
    </row>
    <row r="644">
      <c r="F644" s="15"/>
    </row>
    <row r="645">
      <c r="F645" s="15"/>
    </row>
    <row r="646">
      <c r="F646" s="15"/>
    </row>
    <row r="647">
      <c r="F647" s="15"/>
    </row>
    <row r="648">
      <c r="F648" s="15"/>
    </row>
    <row r="649">
      <c r="F649" s="15"/>
    </row>
    <row r="650">
      <c r="F650" s="15"/>
    </row>
    <row r="651">
      <c r="F651" s="15"/>
    </row>
    <row r="652">
      <c r="F652" s="15"/>
    </row>
    <row r="653">
      <c r="F653" s="15"/>
    </row>
    <row r="654">
      <c r="F654" s="15"/>
    </row>
    <row r="655">
      <c r="F655" s="15"/>
    </row>
    <row r="656">
      <c r="F656" s="15"/>
    </row>
    <row r="657">
      <c r="F657" s="15"/>
    </row>
    <row r="658">
      <c r="F658" s="15"/>
    </row>
    <row r="659">
      <c r="F659" s="15"/>
    </row>
    <row r="660">
      <c r="F660" s="15"/>
    </row>
    <row r="661">
      <c r="F661" s="15"/>
    </row>
    <row r="662">
      <c r="F662" s="15"/>
    </row>
    <row r="663">
      <c r="F663" s="15"/>
    </row>
    <row r="664">
      <c r="F664" s="15"/>
    </row>
    <row r="665">
      <c r="F665" s="15"/>
    </row>
    <row r="666">
      <c r="F666" s="15"/>
    </row>
    <row r="667">
      <c r="F667" s="15"/>
    </row>
    <row r="668">
      <c r="F668" s="15"/>
    </row>
    <row r="669">
      <c r="F669" s="15"/>
    </row>
    <row r="670">
      <c r="F670" s="15"/>
    </row>
    <row r="671">
      <c r="F671" s="15"/>
    </row>
    <row r="672">
      <c r="F672" s="15"/>
    </row>
    <row r="673">
      <c r="F673" s="15"/>
    </row>
    <row r="674">
      <c r="F674" s="15"/>
    </row>
    <row r="675">
      <c r="F675" s="15"/>
    </row>
    <row r="676">
      <c r="F676" s="15"/>
    </row>
    <row r="677">
      <c r="F677" s="15"/>
    </row>
    <row r="678">
      <c r="F678" s="15"/>
    </row>
    <row r="679">
      <c r="F679" s="15"/>
    </row>
    <row r="680">
      <c r="F680" s="15"/>
    </row>
    <row r="681">
      <c r="F681" s="15"/>
    </row>
    <row r="682">
      <c r="F682" s="15"/>
    </row>
    <row r="683">
      <c r="F683" s="15"/>
    </row>
    <row r="684">
      <c r="F684" s="15"/>
    </row>
    <row r="685">
      <c r="F685" s="15"/>
    </row>
    <row r="686">
      <c r="F686" s="15"/>
    </row>
    <row r="687">
      <c r="F687" s="15"/>
    </row>
    <row r="688">
      <c r="F688" s="15"/>
    </row>
    <row r="689">
      <c r="F689" s="15"/>
    </row>
    <row r="690">
      <c r="F690" s="15"/>
    </row>
    <row r="691">
      <c r="F691" s="15"/>
    </row>
    <row r="692">
      <c r="F692" s="15"/>
    </row>
    <row r="693">
      <c r="F693" s="15"/>
    </row>
    <row r="694">
      <c r="F694" s="15"/>
    </row>
    <row r="695">
      <c r="F695" s="15"/>
    </row>
    <row r="696">
      <c r="F696" s="15"/>
    </row>
    <row r="697">
      <c r="F697" s="15"/>
    </row>
    <row r="698">
      <c r="F698" s="15"/>
    </row>
    <row r="699">
      <c r="F699" s="15"/>
    </row>
    <row r="700">
      <c r="F700" s="15"/>
    </row>
    <row r="701">
      <c r="F701" s="15"/>
    </row>
    <row r="702">
      <c r="F702" s="15"/>
    </row>
    <row r="703">
      <c r="F703" s="15"/>
    </row>
    <row r="704">
      <c r="F704" s="15"/>
    </row>
    <row r="705">
      <c r="F705" s="15"/>
    </row>
    <row r="706">
      <c r="F706" s="15"/>
    </row>
    <row r="707">
      <c r="F707" s="15"/>
    </row>
    <row r="708">
      <c r="F708" s="15"/>
    </row>
    <row r="709">
      <c r="F709" s="15"/>
    </row>
    <row r="710">
      <c r="F710" s="15"/>
    </row>
    <row r="711">
      <c r="F711" s="15"/>
    </row>
    <row r="712">
      <c r="F712" s="15"/>
    </row>
    <row r="713">
      <c r="F713" s="15"/>
    </row>
    <row r="714">
      <c r="F714" s="15"/>
    </row>
    <row r="715">
      <c r="F715" s="15"/>
    </row>
    <row r="716">
      <c r="F716" s="15"/>
    </row>
    <row r="717">
      <c r="F717" s="15"/>
    </row>
    <row r="718">
      <c r="F718" s="15"/>
    </row>
    <row r="719">
      <c r="F719" s="15"/>
    </row>
    <row r="720">
      <c r="F720" s="15"/>
    </row>
    <row r="721">
      <c r="F721" s="15"/>
    </row>
    <row r="722">
      <c r="F722" s="15"/>
    </row>
    <row r="723">
      <c r="F723" s="15"/>
    </row>
    <row r="724">
      <c r="F724" s="15"/>
    </row>
    <row r="725">
      <c r="F725" s="15"/>
    </row>
    <row r="726">
      <c r="F726" s="15"/>
    </row>
    <row r="727">
      <c r="F727" s="15"/>
    </row>
    <row r="728">
      <c r="F728" s="15"/>
    </row>
    <row r="729">
      <c r="F729" s="15"/>
    </row>
    <row r="730">
      <c r="F730" s="15"/>
    </row>
    <row r="731">
      <c r="F731" s="15"/>
    </row>
    <row r="732">
      <c r="F732" s="15"/>
    </row>
    <row r="733">
      <c r="F733" s="15"/>
    </row>
    <row r="734">
      <c r="F734" s="15"/>
    </row>
    <row r="735">
      <c r="F735" s="15"/>
    </row>
    <row r="736">
      <c r="F736" s="15"/>
    </row>
    <row r="737">
      <c r="F737" s="15"/>
    </row>
    <row r="738">
      <c r="F738" s="15"/>
    </row>
    <row r="739">
      <c r="F739" s="15"/>
    </row>
    <row r="740">
      <c r="F740" s="15"/>
    </row>
    <row r="741">
      <c r="F741" s="15"/>
    </row>
    <row r="742">
      <c r="F742" s="15"/>
    </row>
    <row r="743">
      <c r="F743" s="15"/>
    </row>
    <row r="744">
      <c r="F744" s="15"/>
    </row>
    <row r="745">
      <c r="F745" s="15"/>
    </row>
    <row r="746">
      <c r="F746" s="15"/>
    </row>
    <row r="747">
      <c r="F747" s="15"/>
    </row>
    <row r="748">
      <c r="F748" s="15"/>
    </row>
    <row r="749">
      <c r="F749" s="15"/>
    </row>
    <row r="750">
      <c r="F750" s="15"/>
    </row>
    <row r="751">
      <c r="F751" s="15"/>
    </row>
    <row r="752">
      <c r="F752" s="15"/>
    </row>
    <row r="753">
      <c r="F753" s="15"/>
    </row>
    <row r="754">
      <c r="F754" s="15"/>
    </row>
    <row r="755">
      <c r="F755" s="15"/>
    </row>
    <row r="756">
      <c r="F756" s="15"/>
    </row>
    <row r="757">
      <c r="F757" s="15"/>
    </row>
    <row r="758">
      <c r="F758" s="15"/>
    </row>
    <row r="759">
      <c r="F759" s="15"/>
    </row>
    <row r="760">
      <c r="F760" s="15"/>
    </row>
    <row r="761">
      <c r="F761" s="15"/>
    </row>
    <row r="762">
      <c r="F762" s="15"/>
    </row>
    <row r="763">
      <c r="F763" s="15"/>
    </row>
    <row r="764">
      <c r="F764" s="15"/>
    </row>
    <row r="765">
      <c r="F765" s="15"/>
    </row>
    <row r="766">
      <c r="F766" s="15"/>
    </row>
    <row r="767">
      <c r="F767" s="15"/>
    </row>
    <row r="768">
      <c r="F768" s="15"/>
    </row>
    <row r="769">
      <c r="F769" s="15"/>
    </row>
    <row r="770">
      <c r="F770" s="15"/>
    </row>
    <row r="771">
      <c r="F771" s="15"/>
    </row>
    <row r="772">
      <c r="F772" s="15"/>
    </row>
    <row r="773">
      <c r="F773" s="15"/>
    </row>
    <row r="774">
      <c r="F774" s="15"/>
    </row>
    <row r="775">
      <c r="F775" s="15"/>
    </row>
    <row r="776">
      <c r="F776" s="15"/>
    </row>
    <row r="777">
      <c r="F777" s="15"/>
    </row>
    <row r="778">
      <c r="F778" s="15"/>
    </row>
    <row r="779">
      <c r="F779" s="15"/>
    </row>
    <row r="780">
      <c r="F780" s="15"/>
    </row>
    <row r="781">
      <c r="F781" s="15"/>
    </row>
    <row r="782">
      <c r="F782" s="15"/>
    </row>
    <row r="783">
      <c r="F783" s="15"/>
    </row>
    <row r="784">
      <c r="F784" s="15"/>
    </row>
    <row r="785">
      <c r="F785" s="15"/>
    </row>
    <row r="786">
      <c r="F786" s="15"/>
    </row>
    <row r="787">
      <c r="F787" s="15"/>
    </row>
    <row r="788">
      <c r="F788" s="15"/>
    </row>
    <row r="789">
      <c r="F789" s="15"/>
    </row>
    <row r="790">
      <c r="F790" s="15"/>
    </row>
    <row r="791">
      <c r="F791" s="15"/>
    </row>
    <row r="792">
      <c r="F792" s="15"/>
    </row>
    <row r="793">
      <c r="F793" s="15"/>
    </row>
    <row r="794">
      <c r="F794" s="15"/>
    </row>
    <row r="795">
      <c r="F795" s="15"/>
    </row>
    <row r="796">
      <c r="F796" s="15"/>
    </row>
    <row r="797">
      <c r="F797" s="15"/>
    </row>
    <row r="798">
      <c r="F798" s="15"/>
    </row>
    <row r="799">
      <c r="F799" s="15"/>
    </row>
    <row r="800">
      <c r="F800" s="15"/>
    </row>
    <row r="801">
      <c r="F801" s="15"/>
    </row>
    <row r="802">
      <c r="F802" s="15"/>
    </row>
    <row r="803">
      <c r="F803" s="15"/>
    </row>
    <row r="804">
      <c r="F804" s="15"/>
    </row>
    <row r="805">
      <c r="F805" s="15"/>
    </row>
    <row r="806">
      <c r="F806" s="15"/>
    </row>
    <row r="807">
      <c r="F807" s="15"/>
    </row>
    <row r="808">
      <c r="F808" s="15"/>
    </row>
    <row r="809">
      <c r="F809" s="15"/>
    </row>
    <row r="810">
      <c r="F810" s="15"/>
    </row>
    <row r="811">
      <c r="F811" s="15"/>
    </row>
    <row r="812">
      <c r="F812" s="15"/>
    </row>
    <row r="813">
      <c r="F813" s="15"/>
    </row>
    <row r="814">
      <c r="F814" s="15"/>
    </row>
    <row r="815">
      <c r="F815" s="15"/>
    </row>
    <row r="816">
      <c r="F816" s="15"/>
    </row>
    <row r="817">
      <c r="F817" s="15"/>
    </row>
    <row r="818">
      <c r="F818" s="15"/>
    </row>
    <row r="819">
      <c r="F819" s="15"/>
    </row>
    <row r="820">
      <c r="F820" s="15"/>
    </row>
    <row r="821">
      <c r="F821" s="15"/>
    </row>
    <row r="822">
      <c r="F822" s="15"/>
    </row>
    <row r="823">
      <c r="F823" s="15"/>
    </row>
    <row r="824">
      <c r="F824" s="15"/>
    </row>
    <row r="825">
      <c r="F825" s="15"/>
    </row>
    <row r="826">
      <c r="F826" s="15"/>
    </row>
    <row r="827">
      <c r="F827" s="15"/>
    </row>
    <row r="828">
      <c r="F828" s="15"/>
    </row>
    <row r="829">
      <c r="F829" s="15"/>
    </row>
    <row r="830">
      <c r="F830" s="15"/>
    </row>
    <row r="831">
      <c r="F831" s="15"/>
    </row>
    <row r="832">
      <c r="F832" s="15"/>
    </row>
    <row r="833">
      <c r="F833" s="15"/>
    </row>
    <row r="834">
      <c r="F834" s="15"/>
    </row>
    <row r="835">
      <c r="F835" s="15"/>
    </row>
    <row r="836">
      <c r="F836" s="15"/>
    </row>
    <row r="837">
      <c r="F837" s="15"/>
    </row>
    <row r="838">
      <c r="F838" s="15"/>
    </row>
    <row r="839">
      <c r="F839" s="15"/>
    </row>
    <row r="840">
      <c r="F840" s="15"/>
    </row>
    <row r="841">
      <c r="F841" s="15"/>
    </row>
    <row r="842">
      <c r="F842" s="15"/>
    </row>
    <row r="843">
      <c r="F843" s="15"/>
    </row>
    <row r="844">
      <c r="F844" s="15"/>
    </row>
    <row r="845">
      <c r="F845" s="15"/>
    </row>
    <row r="846">
      <c r="F846" s="15"/>
    </row>
    <row r="847">
      <c r="F847" s="15"/>
    </row>
    <row r="848">
      <c r="F848" s="15"/>
    </row>
    <row r="849">
      <c r="F849" s="15"/>
    </row>
    <row r="850">
      <c r="F850" s="15"/>
    </row>
    <row r="851">
      <c r="F851" s="15"/>
    </row>
    <row r="852">
      <c r="F852" s="15"/>
    </row>
    <row r="853">
      <c r="F853" s="15"/>
    </row>
    <row r="854">
      <c r="F854" s="15"/>
    </row>
    <row r="855">
      <c r="F855" s="15"/>
    </row>
    <row r="856">
      <c r="F856" s="15"/>
    </row>
    <row r="857">
      <c r="F857" s="15"/>
    </row>
    <row r="858">
      <c r="F858" s="15"/>
    </row>
    <row r="859">
      <c r="F859" s="15"/>
    </row>
    <row r="860">
      <c r="F860" s="15"/>
    </row>
    <row r="861">
      <c r="F861" s="15"/>
    </row>
    <row r="862">
      <c r="F862" s="15"/>
    </row>
    <row r="863">
      <c r="F863" s="15"/>
    </row>
    <row r="864">
      <c r="F864" s="15"/>
    </row>
    <row r="865">
      <c r="F865" s="15"/>
    </row>
    <row r="866">
      <c r="F866" s="15"/>
    </row>
    <row r="867">
      <c r="F867" s="15"/>
    </row>
    <row r="868">
      <c r="F868" s="15"/>
    </row>
    <row r="869">
      <c r="F869" s="15"/>
    </row>
    <row r="870">
      <c r="F870" s="15"/>
    </row>
    <row r="871">
      <c r="F871" s="15"/>
    </row>
    <row r="872">
      <c r="F872" s="15"/>
    </row>
    <row r="873">
      <c r="F873" s="15"/>
    </row>
    <row r="874">
      <c r="F874" s="15"/>
    </row>
    <row r="875">
      <c r="F875" s="15"/>
    </row>
    <row r="876">
      <c r="F876" s="15"/>
    </row>
    <row r="877">
      <c r="F877" s="15"/>
    </row>
    <row r="878">
      <c r="F878" s="15"/>
    </row>
    <row r="879">
      <c r="F879" s="15"/>
    </row>
    <row r="880">
      <c r="F880" s="15"/>
    </row>
    <row r="881">
      <c r="F881" s="15"/>
    </row>
    <row r="882">
      <c r="F882" s="15"/>
    </row>
    <row r="883">
      <c r="F883" s="15"/>
    </row>
    <row r="884">
      <c r="F884" s="15"/>
    </row>
    <row r="885">
      <c r="F885" s="15"/>
    </row>
    <row r="886">
      <c r="F886" s="15"/>
    </row>
    <row r="887">
      <c r="F887" s="15"/>
    </row>
    <row r="888">
      <c r="F888" s="15"/>
    </row>
    <row r="889">
      <c r="F889" s="15"/>
    </row>
    <row r="890">
      <c r="F890" s="15"/>
    </row>
    <row r="891">
      <c r="F891" s="15"/>
    </row>
    <row r="892">
      <c r="F892" s="15"/>
    </row>
    <row r="893">
      <c r="F893" s="15"/>
    </row>
    <row r="894">
      <c r="F894" s="15"/>
    </row>
    <row r="895">
      <c r="F895" s="15"/>
    </row>
    <row r="896">
      <c r="F896" s="15"/>
    </row>
    <row r="897">
      <c r="F897" s="15"/>
    </row>
    <row r="898">
      <c r="F898" s="15"/>
    </row>
    <row r="899">
      <c r="F899" s="15"/>
    </row>
    <row r="900">
      <c r="F900" s="15"/>
    </row>
    <row r="901">
      <c r="F901" s="15"/>
    </row>
    <row r="902">
      <c r="F902" s="15"/>
    </row>
    <row r="903">
      <c r="F903" s="15"/>
    </row>
    <row r="904">
      <c r="F904" s="15"/>
    </row>
    <row r="905">
      <c r="F905" s="15"/>
    </row>
    <row r="906">
      <c r="F906" s="15"/>
    </row>
    <row r="907">
      <c r="F907" s="15"/>
    </row>
    <row r="908">
      <c r="F908" s="15"/>
    </row>
    <row r="909">
      <c r="F909" s="15"/>
    </row>
    <row r="910">
      <c r="F910" s="15"/>
    </row>
    <row r="911">
      <c r="F911" s="15"/>
    </row>
    <row r="912">
      <c r="F912" s="15"/>
    </row>
    <row r="913">
      <c r="F913" s="15"/>
    </row>
    <row r="914">
      <c r="F914" s="15"/>
    </row>
    <row r="915">
      <c r="F915" s="15"/>
    </row>
    <row r="916">
      <c r="F916" s="15"/>
    </row>
    <row r="917">
      <c r="F917" s="15"/>
    </row>
    <row r="918">
      <c r="F918" s="15"/>
    </row>
    <row r="919">
      <c r="F919" s="15"/>
    </row>
    <row r="920">
      <c r="F920" s="15"/>
    </row>
    <row r="921">
      <c r="F921" s="15"/>
    </row>
    <row r="922">
      <c r="F922" s="15"/>
    </row>
    <row r="923">
      <c r="F923" s="15"/>
    </row>
    <row r="924">
      <c r="F924" s="15"/>
    </row>
    <row r="925">
      <c r="F925" s="15"/>
    </row>
    <row r="926">
      <c r="F926" s="15"/>
    </row>
    <row r="927">
      <c r="F927" s="15"/>
    </row>
    <row r="928">
      <c r="F928" s="15"/>
    </row>
    <row r="929">
      <c r="F929" s="15"/>
    </row>
    <row r="930">
      <c r="F930" s="15"/>
    </row>
    <row r="931">
      <c r="F931" s="15"/>
    </row>
    <row r="932">
      <c r="F932" s="15"/>
    </row>
    <row r="933">
      <c r="F933" s="15"/>
    </row>
    <row r="934">
      <c r="F934" s="15"/>
    </row>
    <row r="935">
      <c r="F935" s="15"/>
    </row>
    <row r="936">
      <c r="F936" s="15"/>
    </row>
    <row r="937">
      <c r="F937" s="15"/>
    </row>
    <row r="938">
      <c r="F938" s="15"/>
    </row>
    <row r="939">
      <c r="F939" s="15"/>
    </row>
    <row r="940">
      <c r="F940" s="15"/>
    </row>
    <row r="941">
      <c r="F941" s="15"/>
    </row>
    <row r="942">
      <c r="F942" s="15"/>
    </row>
    <row r="943">
      <c r="F943" s="15"/>
    </row>
    <row r="944">
      <c r="F944" s="15"/>
    </row>
    <row r="945">
      <c r="F945" s="15"/>
    </row>
    <row r="946">
      <c r="F946" s="15"/>
    </row>
    <row r="947">
      <c r="F947" s="15"/>
    </row>
    <row r="948">
      <c r="F948" s="15"/>
    </row>
    <row r="949">
      <c r="F949" s="15"/>
    </row>
    <row r="950">
      <c r="F950" s="15"/>
    </row>
    <row r="951">
      <c r="F951" s="15"/>
    </row>
    <row r="952">
      <c r="F952" s="15"/>
    </row>
    <row r="953">
      <c r="F953" s="15"/>
    </row>
    <row r="954">
      <c r="F954" s="15"/>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s>
  <printOptions gridLines="1" horizontalCentered="1"/>
  <pageMargins bottom="0.75" footer="0.0" header="0.0" left="0.7" right="0.7" top="0.75"/>
  <pageSetup fitToHeight="0" paperSize="9" cellComments="atEnd" orientation="landscape" pageOrder="overThenDown"/>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88"/>
    <col customWidth="1" min="2" max="2" width="41.75"/>
    <col customWidth="1" min="3" max="3" width="92.88"/>
    <col customWidth="1" min="4" max="4" width="19.5"/>
    <col customWidth="1" min="5" max="5" width="84.5"/>
    <col customWidth="1" min="6" max="6" width="20.13"/>
  </cols>
  <sheetData>
    <row r="1">
      <c r="A1" s="17" t="s">
        <v>714</v>
      </c>
      <c r="B1" s="18" t="s">
        <v>17</v>
      </c>
      <c r="C1" s="18" t="s">
        <v>5</v>
      </c>
      <c r="D1" s="19"/>
      <c r="E1" s="18" t="s">
        <v>715</v>
      </c>
      <c r="F1" s="20" t="s">
        <v>716</v>
      </c>
      <c r="G1" s="21"/>
    </row>
    <row r="2">
      <c r="A2" s="22">
        <v>1.0</v>
      </c>
      <c r="B2" s="23" t="s">
        <v>717</v>
      </c>
      <c r="C2" s="14" t="s">
        <v>22</v>
      </c>
      <c r="D2" s="22" t="s">
        <v>718</v>
      </c>
      <c r="E2" s="24" t="s">
        <v>719</v>
      </c>
      <c r="F2" s="25">
        <v>1.0</v>
      </c>
      <c r="G2" s="21"/>
    </row>
    <row r="3">
      <c r="C3" s="14" t="s">
        <v>39</v>
      </c>
      <c r="D3" s="25" t="s">
        <v>720</v>
      </c>
      <c r="E3" s="24" t="s">
        <v>721</v>
      </c>
      <c r="F3" s="25">
        <v>2.0</v>
      </c>
      <c r="G3" s="21"/>
    </row>
    <row r="4">
      <c r="C4" s="14" t="s">
        <v>264</v>
      </c>
      <c r="D4" s="22" t="s">
        <v>718</v>
      </c>
      <c r="E4" s="24" t="s">
        <v>722</v>
      </c>
      <c r="F4" s="25">
        <v>17.0</v>
      </c>
      <c r="G4" s="21"/>
    </row>
    <row r="5">
      <c r="C5" s="14" t="s">
        <v>128</v>
      </c>
      <c r="D5" s="25" t="s">
        <v>720</v>
      </c>
      <c r="E5" s="24" t="s">
        <v>723</v>
      </c>
      <c r="F5" s="25">
        <v>8.0</v>
      </c>
      <c r="G5" s="21"/>
    </row>
    <row r="6">
      <c r="C6" s="14" t="s">
        <v>281</v>
      </c>
      <c r="D6" s="25" t="s">
        <v>720</v>
      </c>
      <c r="E6" s="24" t="s">
        <v>724</v>
      </c>
      <c r="F6" s="25">
        <v>18.0</v>
      </c>
      <c r="G6" s="21"/>
    </row>
    <row r="7">
      <c r="C7" s="14" t="s">
        <v>476</v>
      </c>
      <c r="D7" s="25" t="s">
        <v>718</v>
      </c>
      <c r="E7" s="24" t="s">
        <v>725</v>
      </c>
      <c r="F7" s="25">
        <v>31.0</v>
      </c>
      <c r="G7" s="21"/>
    </row>
    <row r="8">
      <c r="C8" s="14" t="s">
        <v>506</v>
      </c>
      <c r="D8" s="25" t="s">
        <v>718</v>
      </c>
      <c r="E8" s="24" t="s">
        <v>726</v>
      </c>
      <c r="F8" s="25">
        <v>33.0</v>
      </c>
      <c r="G8" s="21"/>
    </row>
    <row r="9">
      <c r="C9" s="14" t="s">
        <v>521</v>
      </c>
      <c r="D9" s="25" t="s">
        <v>718</v>
      </c>
      <c r="E9" s="24" t="s">
        <v>727</v>
      </c>
      <c r="F9" s="25">
        <v>34.0</v>
      </c>
      <c r="G9" s="21"/>
    </row>
    <row r="10">
      <c r="C10" s="14" t="s">
        <v>533</v>
      </c>
      <c r="D10" s="25" t="s">
        <v>718</v>
      </c>
      <c r="E10" s="24" t="s">
        <v>728</v>
      </c>
      <c r="F10" s="25">
        <v>35.0</v>
      </c>
      <c r="G10" s="21"/>
    </row>
    <row r="11">
      <c r="C11" s="14" t="s">
        <v>547</v>
      </c>
      <c r="D11" s="22" t="s">
        <v>720</v>
      </c>
      <c r="E11" s="24" t="s">
        <v>729</v>
      </c>
      <c r="F11" s="25">
        <v>36.0</v>
      </c>
      <c r="G11" s="21"/>
    </row>
    <row r="12">
      <c r="C12" s="14" t="s">
        <v>646</v>
      </c>
      <c r="D12" s="25" t="s">
        <v>718</v>
      </c>
      <c r="E12" s="24" t="s">
        <v>730</v>
      </c>
      <c r="F12" s="25">
        <v>43.0</v>
      </c>
      <c r="G12" s="21"/>
    </row>
    <row r="13">
      <c r="C13" s="14" t="s">
        <v>703</v>
      </c>
      <c r="D13" s="25" t="s">
        <v>718</v>
      </c>
      <c r="E13" s="24" t="s">
        <v>731</v>
      </c>
      <c r="F13" s="25">
        <v>47.0</v>
      </c>
      <c r="G13" s="21"/>
    </row>
    <row r="14">
      <c r="C14" s="26"/>
      <c r="G14" s="21"/>
    </row>
    <row r="15">
      <c r="C15" s="26"/>
      <c r="G15" s="21"/>
    </row>
    <row r="16">
      <c r="A16" s="22">
        <v>2.0</v>
      </c>
      <c r="B16" s="27" t="s">
        <v>732</v>
      </c>
      <c r="C16" s="28"/>
      <c r="D16" s="28"/>
      <c r="E16" s="29"/>
      <c r="F16" s="30"/>
      <c r="G16" s="21"/>
    </row>
    <row r="17">
      <c r="C17" s="14" t="s">
        <v>51</v>
      </c>
      <c r="D17" s="25" t="s">
        <v>718</v>
      </c>
      <c r="E17" s="24" t="s">
        <v>733</v>
      </c>
      <c r="F17" s="25">
        <v>3.0</v>
      </c>
      <c r="G17" s="21"/>
    </row>
    <row r="18">
      <c r="C18" s="14" t="s">
        <v>67</v>
      </c>
      <c r="D18" s="25" t="s">
        <v>720</v>
      </c>
      <c r="E18" s="31" t="s">
        <v>734</v>
      </c>
      <c r="F18" s="25">
        <v>4.0</v>
      </c>
      <c r="G18" s="21"/>
    </row>
    <row r="19">
      <c r="C19" s="14" t="s">
        <v>144</v>
      </c>
      <c r="D19" s="25" t="s">
        <v>720</v>
      </c>
      <c r="E19" s="24" t="s">
        <v>735</v>
      </c>
      <c r="F19" s="25">
        <v>9.0</v>
      </c>
      <c r="G19" s="21"/>
    </row>
    <row r="20">
      <c r="C20" s="14" t="s">
        <v>340</v>
      </c>
      <c r="D20" s="25" t="s">
        <v>720</v>
      </c>
      <c r="E20" s="24" t="s">
        <v>736</v>
      </c>
      <c r="F20" s="25">
        <v>22.0</v>
      </c>
      <c r="G20" s="21"/>
    </row>
    <row r="21">
      <c r="C21" s="14" t="s">
        <v>357</v>
      </c>
      <c r="D21" s="25" t="s">
        <v>718</v>
      </c>
      <c r="E21" s="24" t="s">
        <v>737</v>
      </c>
      <c r="F21" s="25">
        <v>23.0</v>
      </c>
      <c r="G21" s="21"/>
    </row>
    <row r="22">
      <c r="C22" s="14" t="s">
        <v>371</v>
      </c>
      <c r="D22" s="32" t="s">
        <v>720</v>
      </c>
      <c r="E22" s="24" t="s">
        <v>738</v>
      </c>
      <c r="F22" s="25">
        <v>24.0</v>
      </c>
      <c r="G22" s="21"/>
      <c r="M22" s="33" t="s">
        <v>739</v>
      </c>
    </row>
    <row r="23">
      <c r="C23" s="14" t="s">
        <v>385</v>
      </c>
      <c r="D23" s="34" t="s">
        <v>720</v>
      </c>
      <c r="E23" s="24" t="s">
        <v>740</v>
      </c>
      <c r="F23" s="25">
        <v>25.0</v>
      </c>
      <c r="G23" s="21"/>
      <c r="M23" s="35"/>
    </row>
    <row r="24">
      <c r="C24" s="14" t="s">
        <v>400</v>
      </c>
      <c r="D24" s="34" t="s">
        <v>720</v>
      </c>
      <c r="E24" s="24" t="s">
        <v>741</v>
      </c>
      <c r="F24" s="25">
        <v>26.0</v>
      </c>
      <c r="G24" s="21"/>
    </row>
    <row r="25">
      <c r="C25" s="14" t="s">
        <v>415</v>
      </c>
      <c r="D25" s="36" t="s">
        <v>742</v>
      </c>
      <c r="E25" s="21"/>
      <c r="F25" s="25">
        <v>27.0</v>
      </c>
      <c r="G25" s="21"/>
    </row>
    <row r="26">
      <c r="C26" s="14" t="s">
        <v>428</v>
      </c>
      <c r="D26" s="22" t="s">
        <v>720</v>
      </c>
      <c r="E26" s="24" t="s">
        <v>743</v>
      </c>
      <c r="F26" s="25">
        <v>28.0</v>
      </c>
      <c r="G26" s="21"/>
    </row>
    <row r="27">
      <c r="C27" s="14" t="s">
        <v>445</v>
      </c>
      <c r="D27" s="36" t="s">
        <v>742</v>
      </c>
      <c r="E27" s="24" t="s">
        <v>744</v>
      </c>
      <c r="F27" s="25">
        <v>29.0</v>
      </c>
      <c r="G27" s="21"/>
    </row>
    <row r="28">
      <c r="C28" s="14" t="s">
        <v>457</v>
      </c>
      <c r="D28" s="37" t="s">
        <v>720</v>
      </c>
      <c r="E28" s="24" t="s">
        <v>745</v>
      </c>
      <c r="F28" s="25">
        <v>30.0</v>
      </c>
      <c r="G28" s="21"/>
    </row>
    <row r="29">
      <c r="C29" s="14" t="s">
        <v>561</v>
      </c>
      <c r="D29" s="36" t="s">
        <v>742</v>
      </c>
      <c r="E29" s="24" t="s">
        <v>746</v>
      </c>
      <c r="F29" s="25">
        <v>37.0</v>
      </c>
      <c r="G29" s="21"/>
    </row>
    <row r="30">
      <c r="C30" s="14" t="s">
        <v>578</v>
      </c>
      <c r="D30" s="22" t="s">
        <v>720</v>
      </c>
      <c r="E30" s="24" t="s">
        <v>747</v>
      </c>
      <c r="F30" s="25">
        <v>38.0</v>
      </c>
      <c r="G30" s="21"/>
    </row>
    <row r="31">
      <c r="C31" s="14" t="s">
        <v>748</v>
      </c>
      <c r="D31" s="38" t="s">
        <v>718</v>
      </c>
      <c r="E31" s="24" t="s">
        <v>749</v>
      </c>
      <c r="F31" s="25"/>
      <c r="G31" s="39" t="s">
        <v>750</v>
      </c>
    </row>
    <row r="32">
      <c r="C32" s="40"/>
      <c r="D32" s="40"/>
      <c r="E32" s="21"/>
      <c r="F32" s="41"/>
      <c r="G32" s="21"/>
    </row>
    <row r="33">
      <c r="C33" s="40"/>
      <c r="D33" s="40"/>
      <c r="E33" s="21"/>
      <c r="F33" s="41"/>
      <c r="G33" s="21"/>
    </row>
    <row r="34">
      <c r="C34" s="26"/>
      <c r="G34" s="21"/>
    </row>
    <row r="35">
      <c r="A35" s="22">
        <v>3.0</v>
      </c>
      <c r="B35" s="42" t="s">
        <v>751</v>
      </c>
      <c r="C35" s="28"/>
      <c r="D35" s="28"/>
      <c r="E35" s="29"/>
      <c r="F35" s="30"/>
      <c r="G35" s="39"/>
    </row>
    <row r="36">
      <c r="C36" s="14" t="s">
        <v>752</v>
      </c>
      <c r="D36" s="43" t="s">
        <v>718</v>
      </c>
      <c r="E36" s="24" t="s">
        <v>753</v>
      </c>
      <c r="F36" s="25"/>
      <c r="G36" s="39" t="s">
        <v>750</v>
      </c>
    </row>
    <row r="37">
      <c r="C37" s="14" t="s">
        <v>754</v>
      </c>
      <c r="D37" s="43" t="s">
        <v>720</v>
      </c>
      <c r="E37" s="24" t="s">
        <v>755</v>
      </c>
      <c r="F37" s="41"/>
      <c r="G37" s="39" t="s">
        <v>750</v>
      </c>
    </row>
    <row r="38">
      <c r="C38" s="14" t="s">
        <v>85</v>
      </c>
      <c r="D38" s="25" t="s">
        <v>720</v>
      </c>
      <c r="E38" s="24" t="s">
        <v>756</v>
      </c>
      <c r="F38" s="25">
        <v>5.0</v>
      </c>
      <c r="G38" s="21"/>
    </row>
    <row r="39">
      <c r="C39" s="14" t="s">
        <v>101</v>
      </c>
      <c r="D39" s="25" t="s">
        <v>720</v>
      </c>
      <c r="E39" s="24" t="s">
        <v>757</v>
      </c>
      <c r="F39" s="25">
        <v>6.0</v>
      </c>
      <c r="G39" s="21"/>
    </row>
    <row r="40">
      <c r="C40" s="14" t="s">
        <v>662</v>
      </c>
      <c r="D40" s="25" t="s">
        <v>720</v>
      </c>
      <c r="E40" s="24" t="s">
        <v>758</v>
      </c>
      <c r="F40" s="25">
        <v>44.0</v>
      </c>
      <c r="G40" s="21"/>
    </row>
    <row r="41">
      <c r="C41" s="14" t="s">
        <v>157</v>
      </c>
      <c r="D41" s="25" t="s">
        <v>720</v>
      </c>
      <c r="E41" s="24" t="s">
        <v>759</v>
      </c>
      <c r="F41" s="25">
        <v>10.0</v>
      </c>
      <c r="G41" s="21"/>
    </row>
    <row r="42">
      <c r="C42" s="14" t="s">
        <v>604</v>
      </c>
      <c r="D42" s="34" t="s">
        <v>720</v>
      </c>
      <c r="E42" s="24" t="s">
        <v>760</v>
      </c>
      <c r="F42" s="25">
        <v>40.0</v>
      </c>
      <c r="G42" s="21"/>
    </row>
    <row r="43">
      <c r="C43" s="14" t="s">
        <v>313</v>
      </c>
      <c r="D43" s="22" t="s">
        <v>720</v>
      </c>
      <c r="E43" s="24" t="s">
        <v>761</v>
      </c>
      <c r="F43" s="25">
        <v>20.0</v>
      </c>
      <c r="G43" s="21"/>
    </row>
    <row r="44">
      <c r="C44" s="40"/>
      <c r="D44" s="40"/>
      <c r="E44" s="21"/>
      <c r="F44" s="41"/>
      <c r="G44" s="21"/>
    </row>
    <row r="45">
      <c r="C45" s="26"/>
      <c r="G45" s="21"/>
    </row>
    <row r="46">
      <c r="A46" s="22">
        <v>4.0</v>
      </c>
      <c r="B46" s="44" t="s">
        <v>762</v>
      </c>
      <c r="C46" s="28"/>
      <c r="D46" s="28"/>
      <c r="E46" s="29"/>
      <c r="F46" s="30"/>
      <c r="G46" s="21"/>
    </row>
    <row r="47">
      <c r="C47" s="40"/>
      <c r="D47" s="40"/>
      <c r="E47" s="21"/>
      <c r="F47" s="41"/>
      <c r="G47" s="21"/>
    </row>
    <row r="48">
      <c r="C48" s="40"/>
      <c r="D48" s="40"/>
      <c r="E48" s="21"/>
      <c r="F48" s="41"/>
      <c r="G48" s="21"/>
    </row>
    <row r="49">
      <c r="C49" s="40"/>
      <c r="D49" s="40"/>
      <c r="E49" s="21"/>
      <c r="F49" s="41"/>
      <c r="G49" s="21"/>
    </row>
    <row r="50">
      <c r="C50" s="40"/>
      <c r="D50" s="40"/>
      <c r="E50" s="21"/>
      <c r="F50" s="41"/>
      <c r="G50" s="21"/>
    </row>
    <row r="51">
      <c r="C51" s="40"/>
      <c r="D51" s="40"/>
      <c r="E51" s="21"/>
      <c r="F51" s="41"/>
      <c r="G51" s="21"/>
    </row>
    <row r="52">
      <c r="C52" s="40"/>
      <c r="D52" s="40"/>
      <c r="E52" s="21"/>
      <c r="F52" s="41"/>
      <c r="G52" s="21"/>
    </row>
    <row r="53">
      <c r="C53" s="40"/>
      <c r="D53" s="40"/>
      <c r="E53" s="21"/>
      <c r="F53" s="41"/>
      <c r="G53" s="21"/>
    </row>
    <row r="54">
      <c r="C54" s="40"/>
      <c r="D54" s="40"/>
      <c r="E54" s="21"/>
      <c r="F54" s="41"/>
      <c r="G54" s="21"/>
    </row>
    <row r="55">
      <c r="C55" s="40"/>
      <c r="D55" s="40"/>
      <c r="E55" s="21"/>
      <c r="F55" s="41"/>
      <c r="G55" s="21"/>
    </row>
    <row r="56">
      <c r="A56" s="22"/>
      <c r="C56" s="40"/>
      <c r="D56" s="40"/>
      <c r="E56" s="21"/>
      <c r="F56" s="41"/>
      <c r="G56" s="21"/>
    </row>
    <row r="57">
      <c r="C57" s="40"/>
      <c r="D57" s="40"/>
      <c r="E57" s="21"/>
      <c r="F57" s="41"/>
      <c r="G57" s="21"/>
    </row>
    <row r="58">
      <c r="C58" s="40"/>
      <c r="D58" s="40"/>
      <c r="E58" s="21"/>
      <c r="F58" s="41"/>
      <c r="G58" s="21"/>
    </row>
    <row r="59">
      <c r="C59" s="40"/>
      <c r="D59" s="40"/>
      <c r="E59" s="21"/>
      <c r="F59" s="41"/>
      <c r="G59" s="21"/>
    </row>
    <row r="60">
      <c r="C60" s="26"/>
      <c r="G60" s="21"/>
    </row>
    <row r="61">
      <c r="A61" s="22">
        <v>5.0</v>
      </c>
      <c r="B61" s="45" t="s">
        <v>763</v>
      </c>
      <c r="C61" s="28"/>
      <c r="D61" s="28"/>
      <c r="E61" s="29"/>
      <c r="F61" s="30"/>
      <c r="G61" s="21"/>
    </row>
    <row r="62">
      <c r="C62" s="14" t="s">
        <v>297</v>
      </c>
      <c r="D62" s="22" t="s">
        <v>720</v>
      </c>
      <c r="E62" s="24" t="s">
        <v>764</v>
      </c>
      <c r="F62" s="25">
        <v>19.0</v>
      </c>
      <c r="G62" s="21"/>
    </row>
    <row r="63">
      <c r="C63" s="14" t="s">
        <v>491</v>
      </c>
      <c r="D63" s="34" t="s">
        <v>720</v>
      </c>
      <c r="E63" s="24" t="s">
        <v>765</v>
      </c>
      <c r="F63" s="25">
        <v>32.0</v>
      </c>
      <c r="G63" s="21"/>
    </row>
    <row r="64">
      <c r="C64" s="14" t="s">
        <v>593</v>
      </c>
      <c r="D64" s="34" t="s">
        <v>720</v>
      </c>
      <c r="E64" s="24" t="s">
        <v>766</v>
      </c>
      <c r="F64" s="25">
        <v>39.0</v>
      </c>
      <c r="G64" s="21"/>
    </row>
    <row r="65">
      <c r="C65" s="14" t="s">
        <v>767</v>
      </c>
      <c r="D65" s="46" t="s">
        <v>720</v>
      </c>
      <c r="E65" s="24" t="s">
        <v>768</v>
      </c>
      <c r="F65" s="41"/>
      <c r="G65" s="39" t="s">
        <v>750</v>
      </c>
    </row>
    <row r="66">
      <c r="C66" s="14" t="s">
        <v>621</v>
      </c>
      <c r="D66" s="36" t="s">
        <v>769</v>
      </c>
      <c r="E66" s="21"/>
      <c r="F66" s="25" t="s">
        <v>770</v>
      </c>
      <c r="G66" s="21"/>
    </row>
    <row r="67">
      <c r="C67" s="26"/>
      <c r="G67" s="21"/>
    </row>
    <row r="68">
      <c r="A68" s="22">
        <v>6.0</v>
      </c>
      <c r="B68" s="47" t="s">
        <v>771</v>
      </c>
      <c r="C68" s="28"/>
      <c r="D68" s="28"/>
      <c r="E68" s="29"/>
      <c r="F68" s="30"/>
      <c r="G68" s="21"/>
    </row>
    <row r="69">
      <c r="C69" s="14" t="s">
        <v>327</v>
      </c>
      <c r="D69" s="22" t="s">
        <v>720</v>
      </c>
      <c r="E69" s="24" t="s">
        <v>772</v>
      </c>
      <c r="F69" s="25">
        <v>21.0</v>
      </c>
      <c r="G69" s="21"/>
    </row>
    <row r="70">
      <c r="C70" s="14" t="s">
        <v>631</v>
      </c>
      <c r="D70" s="22" t="s">
        <v>720</v>
      </c>
      <c r="E70" s="24" t="s">
        <v>773</v>
      </c>
      <c r="F70" s="25">
        <v>42.0</v>
      </c>
      <c r="G70" s="21"/>
    </row>
    <row r="71">
      <c r="C71" s="14" t="s">
        <v>674</v>
      </c>
      <c r="D71" s="22" t="s">
        <v>720</v>
      </c>
      <c r="E71" s="24" t="s">
        <v>774</v>
      </c>
      <c r="F71" s="25">
        <v>45.0</v>
      </c>
      <c r="G71" s="21"/>
    </row>
    <row r="72">
      <c r="C72" s="14" t="s">
        <v>691</v>
      </c>
      <c r="D72" s="22" t="s">
        <v>720</v>
      </c>
      <c r="E72" s="24" t="s">
        <v>775</v>
      </c>
      <c r="F72" s="25">
        <v>46.0</v>
      </c>
      <c r="G72" s="21"/>
    </row>
    <row r="73">
      <c r="C73" s="40"/>
      <c r="D73" s="40"/>
      <c r="E73" s="21"/>
      <c r="F73" s="41"/>
      <c r="G73" s="21"/>
    </row>
    <row r="74">
      <c r="C74" s="48"/>
      <c r="D74" s="49"/>
      <c r="F74" s="49"/>
      <c r="G74" s="7"/>
    </row>
    <row r="75">
      <c r="C75" s="48"/>
      <c r="D75" s="49"/>
      <c r="F75" s="49"/>
      <c r="G75" s="7"/>
    </row>
    <row r="76">
      <c r="C76" s="48"/>
      <c r="D76" s="49"/>
      <c r="F76" s="49"/>
      <c r="G76" s="7"/>
    </row>
    <row r="77">
      <c r="C77" s="48"/>
      <c r="D77" s="49"/>
      <c r="F77" s="49"/>
      <c r="G77" s="7"/>
    </row>
    <row r="78">
      <c r="C78" s="48"/>
      <c r="D78" s="49"/>
      <c r="F78" s="49"/>
      <c r="G78" s="7"/>
    </row>
    <row r="79">
      <c r="C79" s="48"/>
      <c r="D79" s="49"/>
      <c r="F79" s="49"/>
      <c r="G79" s="7"/>
    </row>
    <row r="80">
      <c r="C80" s="48"/>
      <c r="D80" s="49"/>
      <c r="F80" s="49"/>
      <c r="G80" s="7"/>
    </row>
    <row r="81">
      <c r="C81" s="48"/>
      <c r="D81" s="49"/>
      <c r="F81" s="49"/>
      <c r="G81" s="7"/>
    </row>
    <row r="82">
      <c r="C82" s="48"/>
      <c r="D82" s="49"/>
      <c r="F82" s="49"/>
      <c r="G82" s="7"/>
    </row>
    <row r="83">
      <c r="C83" s="48"/>
      <c r="D83" s="49"/>
      <c r="F83" s="49"/>
      <c r="G83" s="7"/>
    </row>
    <row r="84">
      <c r="C84" s="48"/>
      <c r="D84" s="49"/>
      <c r="F84" s="49"/>
      <c r="G84" s="7"/>
    </row>
    <row r="85">
      <c r="C85" s="48"/>
      <c r="D85" s="49"/>
      <c r="F85" s="49"/>
      <c r="G85" s="7"/>
    </row>
    <row r="86">
      <c r="C86" s="48"/>
      <c r="D86" s="49"/>
      <c r="F86" s="49"/>
      <c r="G86" s="7"/>
    </row>
    <row r="87">
      <c r="C87" s="48"/>
      <c r="D87" s="49"/>
      <c r="F87" s="49"/>
      <c r="G87" s="7"/>
    </row>
    <row r="88">
      <c r="C88" s="48"/>
      <c r="D88" s="49"/>
      <c r="F88" s="49"/>
      <c r="G88" s="7"/>
    </row>
    <row r="89">
      <c r="C89" s="48"/>
      <c r="D89" s="49"/>
      <c r="F89" s="49"/>
      <c r="G89" s="7"/>
    </row>
    <row r="90">
      <c r="C90" s="48"/>
      <c r="D90" s="49"/>
      <c r="F90" s="49"/>
      <c r="G90" s="7"/>
    </row>
    <row r="91">
      <c r="C91" s="48"/>
      <c r="D91" s="49"/>
      <c r="F91" s="49"/>
      <c r="G91" s="7"/>
    </row>
    <row r="92">
      <c r="C92" s="48"/>
      <c r="D92" s="49"/>
      <c r="F92" s="49"/>
      <c r="G92" s="7"/>
    </row>
    <row r="93">
      <c r="C93" s="48"/>
      <c r="D93" s="49"/>
      <c r="F93" s="49"/>
      <c r="G93" s="7"/>
    </row>
    <row r="94">
      <c r="C94" s="48"/>
      <c r="D94" s="49"/>
      <c r="F94" s="49"/>
      <c r="G94" s="7"/>
    </row>
    <row r="95">
      <c r="C95" s="48"/>
      <c r="D95" s="49"/>
      <c r="F95" s="49"/>
      <c r="G95" s="7"/>
    </row>
    <row r="96">
      <c r="C96" s="48"/>
      <c r="D96" s="49"/>
      <c r="F96" s="49"/>
      <c r="G96" s="7"/>
    </row>
    <row r="97">
      <c r="C97" s="48"/>
      <c r="D97" s="49"/>
      <c r="F97" s="49"/>
      <c r="G97" s="7"/>
    </row>
    <row r="98">
      <c r="C98" s="48"/>
      <c r="D98" s="49"/>
      <c r="F98" s="49"/>
      <c r="G98" s="7"/>
    </row>
    <row r="99">
      <c r="C99" s="48"/>
      <c r="D99" s="49"/>
      <c r="F99" s="49"/>
      <c r="G99" s="7"/>
    </row>
    <row r="100">
      <c r="C100" s="48"/>
      <c r="D100" s="49"/>
      <c r="F100" s="49"/>
      <c r="G100" s="7"/>
    </row>
    <row r="101">
      <c r="C101" s="48"/>
      <c r="D101" s="49"/>
      <c r="F101" s="49"/>
      <c r="G101" s="7"/>
    </row>
    <row r="102">
      <c r="C102" s="48"/>
      <c r="D102" s="49"/>
      <c r="F102" s="49"/>
      <c r="G102" s="7"/>
    </row>
    <row r="103">
      <c r="C103" s="48"/>
      <c r="D103" s="49"/>
      <c r="F103" s="49"/>
      <c r="G103" s="7"/>
    </row>
    <row r="104">
      <c r="C104" s="48"/>
      <c r="D104" s="49"/>
      <c r="F104" s="49"/>
      <c r="G104" s="7"/>
    </row>
    <row r="105">
      <c r="C105" s="48"/>
      <c r="D105" s="49"/>
      <c r="F105" s="49"/>
      <c r="G105" s="7"/>
    </row>
    <row r="106">
      <c r="C106" s="48"/>
      <c r="D106" s="49"/>
      <c r="F106" s="49"/>
      <c r="G106" s="7"/>
    </row>
    <row r="107">
      <c r="C107" s="48"/>
      <c r="D107" s="49"/>
      <c r="F107" s="49"/>
      <c r="G107" s="7"/>
    </row>
    <row r="108">
      <c r="C108" s="48"/>
      <c r="D108" s="49"/>
      <c r="F108" s="49"/>
      <c r="G108" s="7"/>
    </row>
    <row r="109">
      <c r="C109" s="48"/>
      <c r="D109" s="49"/>
      <c r="F109" s="49"/>
      <c r="G109" s="7"/>
    </row>
    <row r="110">
      <c r="C110" s="48"/>
      <c r="D110" s="49"/>
      <c r="F110" s="49"/>
      <c r="G110" s="7"/>
    </row>
    <row r="111">
      <c r="C111" s="48"/>
      <c r="D111" s="49"/>
      <c r="F111" s="49"/>
      <c r="G111" s="7"/>
    </row>
    <row r="112">
      <c r="C112" s="48"/>
      <c r="D112" s="49"/>
      <c r="F112" s="49"/>
      <c r="G112" s="7"/>
    </row>
    <row r="113">
      <c r="C113" s="48"/>
      <c r="D113" s="49"/>
      <c r="F113" s="49"/>
      <c r="G113" s="7"/>
    </row>
    <row r="114">
      <c r="C114" s="48"/>
      <c r="D114" s="49"/>
      <c r="F114" s="49"/>
      <c r="G114" s="7"/>
    </row>
    <row r="115">
      <c r="C115" s="48"/>
      <c r="D115" s="49"/>
      <c r="F115" s="49"/>
      <c r="G115" s="7"/>
    </row>
    <row r="116">
      <c r="C116" s="48"/>
      <c r="D116" s="49"/>
      <c r="F116" s="49"/>
      <c r="G116" s="7"/>
    </row>
    <row r="117">
      <c r="C117" s="48"/>
      <c r="D117" s="49"/>
      <c r="F117" s="49"/>
      <c r="G117" s="7"/>
    </row>
    <row r="118">
      <c r="C118" s="48"/>
      <c r="D118" s="49"/>
      <c r="F118" s="49"/>
      <c r="G118" s="7"/>
    </row>
    <row r="119">
      <c r="C119" s="48"/>
      <c r="D119" s="49"/>
      <c r="F119" s="49"/>
      <c r="G119" s="7"/>
    </row>
    <row r="120">
      <c r="C120" s="48"/>
      <c r="D120" s="49"/>
      <c r="F120" s="49"/>
      <c r="G120" s="7"/>
    </row>
    <row r="121">
      <c r="C121" s="48"/>
      <c r="D121" s="49"/>
      <c r="F121" s="49"/>
      <c r="G121" s="7"/>
    </row>
    <row r="122">
      <c r="C122" s="48"/>
      <c r="D122" s="49"/>
      <c r="F122" s="49"/>
      <c r="G122" s="7"/>
    </row>
    <row r="123">
      <c r="C123" s="48"/>
      <c r="D123" s="49"/>
      <c r="F123" s="49"/>
      <c r="G123" s="7"/>
    </row>
    <row r="124">
      <c r="C124" s="48"/>
      <c r="D124" s="49"/>
      <c r="F124" s="49"/>
      <c r="G124" s="7"/>
    </row>
    <row r="125">
      <c r="C125" s="48"/>
      <c r="D125" s="49"/>
      <c r="F125" s="49"/>
      <c r="G125" s="7"/>
    </row>
    <row r="126">
      <c r="C126" s="48"/>
      <c r="D126" s="49"/>
      <c r="F126" s="49"/>
      <c r="G126" s="7"/>
    </row>
    <row r="127">
      <c r="C127" s="48"/>
      <c r="D127" s="49"/>
      <c r="F127" s="49"/>
      <c r="G127" s="7"/>
    </row>
    <row r="128">
      <c r="C128" s="48"/>
      <c r="D128" s="49"/>
      <c r="F128" s="49"/>
      <c r="G128" s="7"/>
    </row>
    <row r="129">
      <c r="C129" s="48"/>
      <c r="D129" s="49"/>
      <c r="F129" s="49"/>
      <c r="G129" s="7"/>
    </row>
    <row r="130">
      <c r="C130" s="48"/>
      <c r="D130" s="49"/>
      <c r="F130" s="49"/>
      <c r="G130" s="7"/>
    </row>
    <row r="131">
      <c r="C131" s="48"/>
      <c r="D131" s="49"/>
      <c r="F131" s="49"/>
      <c r="G131" s="7"/>
    </row>
    <row r="132">
      <c r="C132" s="48"/>
      <c r="D132" s="49"/>
      <c r="F132" s="49"/>
      <c r="G132" s="7"/>
    </row>
    <row r="133">
      <c r="C133" s="48"/>
      <c r="D133" s="49"/>
      <c r="F133" s="49"/>
      <c r="G133" s="7"/>
    </row>
    <row r="134">
      <c r="C134" s="48"/>
      <c r="D134" s="49"/>
      <c r="F134" s="49"/>
      <c r="G134" s="7"/>
    </row>
    <row r="135">
      <c r="C135" s="48"/>
      <c r="D135" s="49"/>
      <c r="F135" s="49"/>
      <c r="G135" s="7"/>
    </row>
    <row r="136">
      <c r="C136" s="48"/>
      <c r="D136" s="49"/>
      <c r="F136" s="49"/>
      <c r="G136" s="7"/>
    </row>
    <row r="137">
      <c r="C137" s="48"/>
      <c r="D137" s="49"/>
      <c r="F137" s="49"/>
      <c r="G137" s="7"/>
    </row>
    <row r="138">
      <c r="C138" s="48"/>
      <c r="D138" s="49"/>
      <c r="F138" s="49"/>
      <c r="G138" s="7"/>
    </row>
    <row r="139">
      <c r="C139" s="48"/>
      <c r="D139" s="49"/>
      <c r="F139" s="49"/>
      <c r="G139" s="7"/>
    </row>
    <row r="140">
      <c r="C140" s="48"/>
      <c r="D140" s="49"/>
      <c r="F140" s="49"/>
      <c r="G140" s="7"/>
    </row>
    <row r="141">
      <c r="C141" s="48"/>
      <c r="D141" s="49"/>
      <c r="F141" s="49"/>
      <c r="G141" s="7"/>
    </row>
    <row r="142">
      <c r="C142" s="48"/>
      <c r="D142" s="49"/>
      <c r="F142" s="49"/>
      <c r="G142" s="7"/>
    </row>
    <row r="143">
      <c r="C143" s="48"/>
      <c r="D143" s="49"/>
      <c r="F143" s="49"/>
      <c r="G143" s="7"/>
    </row>
    <row r="144">
      <c r="C144" s="48"/>
      <c r="D144" s="49"/>
      <c r="F144" s="49"/>
      <c r="G144" s="7"/>
    </row>
    <row r="145">
      <c r="C145" s="48"/>
      <c r="D145" s="49"/>
      <c r="F145" s="49"/>
      <c r="G145" s="7"/>
    </row>
    <row r="146">
      <c r="C146" s="48"/>
      <c r="D146" s="49"/>
      <c r="F146" s="49"/>
      <c r="G146" s="7"/>
    </row>
    <row r="147">
      <c r="C147" s="48"/>
      <c r="D147" s="49"/>
      <c r="F147" s="49"/>
      <c r="G147" s="7"/>
    </row>
    <row r="148">
      <c r="C148" s="48"/>
      <c r="D148" s="49"/>
      <c r="F148" s="49"/>
      <c r="G148" s="7"/>
    </row>
    <row r="149">
      <c r="C149" s="48"/>
      <c r="D149" s="49"/>
      <c r="F149" s="49"/>
      <c r="G149" s="7"/>
    </row>
    <row r="150">
      <c r="C150" s="48"/>
      <c r="D150" s="49"/>
      <c r="F150" s="49"/>
      <c r="G150" s="7"/>
    </row>
    <row r="151">
      <c r="C151" s="48"/>
      <c r="D151" s="49"/>
      <c r="F151" s="49"/>
      <c r="G151" s="7"/>
    </row>
    <row r="152">
      <c r="C152" s="48"/>
      <c r="D152" s="49"/>
      <c r="F152" s="49"/>
      <c r="G152" s="7"/>
    </row>
    <row r="153">
      <c r="C153" s="48"/>
      <c r="D153" s="49"/>
      <c r="F153" s="49"/>
      <c r="G153" s="7"/>
    </row>
    <row r="154">
      <c r="C154" s="48"/>
      <c r="D154" s="49"/>
      <c r="F154" s="49"/>
      <c r="G154" s="7"/>
    </row>
    <row r="155">
      <c r="C155" s="48"/>
      <c r="D155" s="49"/>
      <c r="F155" s="49"/>
      <c r="G155" s="7"/>
    </row>
    <row r="156">
      <c r="C156" s="48"/>
      <c r="D156" s="49"/>
      <c r="F156" s="49"/>
      <c r="G156" s="7"/>
    </row>
    <row r="157">
      <c r="C157" s="48"/>
      <c r="D157" s="49"/>
      <c r="F157" s="49"/>
      <c r="G157" s="7"/>
    </row>
    <row r="158">
      <c r="C158" s="48"/>
      <c r="D158" s="49"/>
      <c r="F158" s="49"/>
      <c r="G158" s="7"/>
    </row>
    <row r="159">
      <c r="C159" s="48"/>
      <c r="D159" s="49"/>
      <c r="F159" s="49"/>
      <c r="G159" s="7"/>
    </row>
    <row r="160">
      <c r="C160" s="48"/>
      <c r="D160" s="49"/>
      <c r="F160" s="49"/>
      <c r="G160" s="7"/>
    </row>
    <row r="161">
      <c r="C161" s="48"/>
      <c r="D161" s="49"/>
      <c r="F161" s="49"/>
      <c r="G161" s="7"/>
    </row>
    <row r="162">
      <c r="C162" s="48"/>
      <c r="D162" s="49"/>
      <c r="F162" s="49"/>
      <c r="G162" s="7"/>
    </row>
    <row r="163">
      <c r="C163" s="48"/>
      <c r="D163" s="49"/>
      <c r="F163" s="49"/>
      <c r="G163" s="7"/>
    </row>
    <row r="164">
      <c r="C164" s="48"/>
      <c r="D164" s="49"/>
      <c r="F164" s="49"/>
      <c r="G164" s="7"/>
    </row>
    <row r="165">
      <c r="C165" s="48"/>
      <c r="D165" s="49"/>
      <c r="F165" s="49"/>
      <c r="G165" s="7"/>
    </row>
    <row r="166">
      <c r="C166" s="48"/>
      <c r="D166" s="49"/>
      <c r="F166" s="49"/>
      <c r="G166" s="7"/>
    </row>
    <row r="167">
      <c r="C167" s="48"/>
      <c r="D167" s="49"/>
      <c r="F167" s="49"/>
      <c r="G167" s="7"/>
    </row>
    <row r="168">
      <c r="C168" s="48"/>
      <c r="D168" s="49"/>
      <c r="F168" s="49"/>
      <c r="G168" s="7"/>
    </row>
    <row r="169">
      <c r="C169" s="48"/>
      <c r="D169" s="49"/>
      <c r="F169" s="49"/>
      <c r="G169" s="7"/>
    </row>
    <row r="170">
      <c r="C170" s="48"/>
      <c r="D170" s="49"/>
      <c r="F170" s="49"/>
      <c r="G170" s="7"/>
    </row>
    <row r="171">
      <c r="C171" s="48"/>
      <c r="D171" s="49"/>
      <c r="F171" s="49"/>
      <c r="G171" s="7"/>
    </row>
    <row r="172">
      <c r="C172" s="48"/>
      <c r="D172" s="49"/>
      <c r="F172" s="49"/>
      <c r="G172" s="7"/>
    </row>
    <row r="173">
      <c r="C173" s="48"/>
      <c r="D173" s="49"/>
      <c r="F173" s="49"/>
      <c r="G173" s="7"/>
    </row>
    <row r="174">
      <c r="C174" s="48"/>
      <c r="D174" s="49"/>
      <c r="F174" s="49"/>
      <c r="G174" s="7"/>
    </row>
    <row r="175">
      <c r="C175" s="48"/>
      <c r="D175" s="49"/>
      <c r="F175" s="49"/>
      <c r="G175" s="7"/>
    </row>
    <row r="176">
      <c r="C176" s="48"/>
      <c r="D176" s="49"/>
      <c r="F176" s="49"/>
      <c r="G176" s="7"/>
    </row>
    <row r="177">
      <c r="C177" s="48"/>
      <c r="D177" s="49"/>
      <c r="F177" s="49"/>
      <c r="G177" s="7"/>
    </row>
    <row r="178">
      <c r="C178" s="48"/>
      <c r="D178" s="49"/>
      <c r="F178" s="49"/>
      <c r="G178" s="7"/>
    </row>
    <row r="179">
      <c r="C179" s="48"/>
      <c r="D179" s="49"/>
      <c r="F179" s="49"/>
      <c r="G179" s="7"/>
    </row>
    <row r="180">
      <c r="C180" s="48"/>
      <c r="D180" s="49"/>
      <c r="F180" s="49"/>
      <c r="G180" s="7"/>
    </row>
    <row r="181">
      <c r="C181" s="48"/>
      <c r="D181" s="49"/>
      <c r="F181" s="49"/>
      <c r="G181" s="7"/>
    </row>
    <row r="182">
      <c r="C182" s="48"/>
      <c r="D182" s="49"/>
      <c r="F182" s="49"/>
      <c r="G182" s="7"/>
    </row>
    <row r="183">
      <c r="C183" s="48"/>
      <c r="D183" s="49"/>
      <c r="F183" s="49"/>
      <c r="G183" s="7"/>
    </row>
    <row r="184">
      <c r="C184" s="48"/>
      <c r="D184" s="49"/>
      <c r="F184" s="49"/>
      <c r="G184" s="7"/>
    </row>
    <row r="185">
      <c r="C185" s="48"/>
      <c r="D185" s="49"/>
      <c r="F185" s="49"/>
      <c r="G185" s="7"/>
    </row>
    <row r="186">
      <c r="C186" s="48"/>
      <c r="D186" s="49"/>
      <c r="F186" s="49"/>
      <c r="G186" s="7"/>
    </row>
    <row r="187">
      <c r="C187" s="48"/>
      <c r="D187" s="49"/>
      <c r="F187" s="49"/>
      <c r="G187" s="7"/>
    </row>
    <row r="188">
      <c r="C188" s="48"/>
      <c r="D188" s="49"/>
      <c r="F188" s="49"/>
      <c r="G188" s="7"/>
    </row>
    <row r="189">
      <c r="C189" s="48"/>
      <c r="D189" s="49"/>
      <c r="F189" s="49"/>
      <c r="G189" s="7"/>
    </row>
    <row r="190">
      <c r="C190" s="48"/>
      <c r="D190" s="49"/>
      <c r="F190" s="49"/>
      <c r="G190" s="7"/>
    </row>
    <row r="191">
      <c r="C191" s="48"/>
      <c r="D191" s="49"/>
      <c r="F191" s="49"/>
      <c r="G191" s="7"/>
    </row>
    <row r="192">
      <c r="C192" s="48"/>
      <c r="D192" s="49"/>
      <c r="F192" s="49"/>
      <c r="G192" s="7"/>
    </row>
    <row r="193">
      <c r="C193" s="48"/>
      <c r="D193" s="49"/>
      <c r="F193" s="49"/>
      <c r="G193" s="7"/>
    </row>
    <row r="194">
      <c r="C194" s="48"/>
      <c r="D194" s="49"/>
      <c r="F194" s="49"/>
      <c r="G194" s="7"/>
    </row>
    <row r="195">
      <c r="C195" s="48"/>
      <c r="D195" s="49"/>
      <c r="F195" s="49"/>
      <c r="G195" s="7"/>
    </row>
    <row r="196">
      <c r="C196" s="48"/>
      <c r="D196" s="49"/>
      <c r="F196" s="49"/>
      <c r="G196" s="7"/>
    </row>
    <row r="197">
      <c r="C197" s="48"/>
      <c r="D197" s="49"/>
      <c r="F197" s="49"/>
      <c r="G197" s="7"/>
    </row>
    <row r="198">
      <c r="C198" s="48"/>
      <c r="D198" s="49"/>
      <c r="F198" s="49"/>
      <c r="G198" s="7"/>
    </row>
    <row r="199">
      <c r="C199" s="48"/>
      <c r="D199" s="49"/>
      <c r="F199" s="49"/>
      <c r="G199" s="7"/>
    </row>
    <row r="200">
      <c r="C200" s="48"/>
      <c r="D200" s="49"/>
      <c r="F200" s="49"/>
      <c r="G200" s="7"/>
    </row>
    <row r="201">
      <c r="C201" s="48"/>
      <c r="D201" s="49"/>
      <c r="F201" s="49"/>
      <c r="G201" s="7"/>
    </row>
    <row r="202">
      <c r="C202" s="48"/>
      <c r="D202" s="49"/>
      <c r="F202" s="49"/>
      <c r="G202" s="7"/>
    </row>
    <row r="203">
      <c r="C203" s="48"/>
      <c r="D203" s="49"/>
      <c r="F203" s="49"/>
      <c r="G203" s="7"/>
    </row>
    <row r="204">
      <c r="C204" s="48"/>
      <c r="D204" s="49"/>
      <c r="F204" s="49"/>
      <c r="G204" s="7"/>
    </row>
    <row r="205">
      <c r="C205" s="48"/>
      <c r="D205" s="49"/>
      <c r="F205" s="49"/>
      <c r="G205" s="7"/>
    </row>
    <row r="206">
      <c r="C206" s="48"/>
      <c r="D206" s="49"/>
      <c r="F206" s="49"/>
      <c r="G206" s="7"/>
    </row>
    <row r="207">
      <c r="C207" s="48"/>
      <c r="D207" s="49"/>
      <c r="F207" s="49"/>
      <c r="G207" s="7"/>
    </row>
    <row r="208">
      <c r="C208" s="48"/>
      <c r="D208" s="49"/>
      <c r="F208" s="49"/>
      <c r="G208" s="7"/>
    </row>
    <row r="209">
      <c r="C209" s="48"/>
      <c r="D209" s="49"/>
      <c r="F209" s="49"/>
      <c r="G209" s="7"/>
    </row>
    <row r="210">
      <c r="C210" s="48"/>
      <c r="D210" s="49"/>
      <c r="F210" s="49"/>
      <c r="G210" s="7"/>
    </row>
    <row r="211">
      <c r="C211" s="48"/>
      <c r="D211" s="49"/>
      <c r="F211" s="49"/>
      <c r="G211" s="7"/>
    </row>
    <row r="212">
      <c r="C212" s="48"/>
      <c r="D212" s="49"/>
      <c r="F212" s="49"/>
      <c r="G212" s="7"/>
    </row>
    <row r="213">
      <c r="C213" s="48"/>
      <c r="D213" s="49"/>
      <c r="F213" s="49"/>
      <c r="G213" s="7"/>
    </row>
    <row r="214">
      <c r="C214" s="48"/>
      <c r="D214" s="49"/>
      <c r="F214" s="49"/>
      <c r="G214" s="7"/>
    </row>
    <row r="215">
      <c r="C215" s="48"/>
      <c r="D215" s="49"/>
      <c r="F215" s="49"/>
      <c r="G215" s="7"/>
    </row>
    <row r="216">
      <c r="C216" s="48"/>
      <c r="D216" s="49"/>
      <c r="F216" s="49"/>
      <c r="G216" s="7"/>
    </row>
    <row r="217">
      <c r="C217" s="48"/>
      <c r="D217" s="49"/>
      <c r="F217" s="49"/>
      <c r="G217" s="7"/>
    </row>
    <row r="218">
      <c r="C218" s="48"/>
      <c r="D218" s="49"/>
      <c r="F218" s="49"/>
      <c r="G218" s="7"/>
    </row>
    <row r="219">
      <c r="C219" s="48"/>
      <c r="D219" s="49"/>
      <c r="F219" s="49"/>
      <c r="G219" s="7"/>
    </row>
    <row r="220">
      <c r="C220" s="48"/>
      <c r="D220" s="49"/>
      <c r="F220" s="49"/>
      <c r="G220" s="7"/>
    </row>
    <row r="221">
      <c r="C221" s="48"/>
      <c r="D221" s="49"/>
      <c r="F221" s="49"/>
      <c r="G221" s="7"/>
    </row>
    <row r="222">
      <c r="C222" s="48"/>
      <c r="D222" s="49"/>
      <c r="F222" s="49"/>
      <c r="G222" s="7"/>
    </row>
    <row r="223">
      <c r="C223" s="48"/>
      <c r="D223" s="49"/>
      <c r="F223" s="49"/>
      <c r="G223" s="7"/>
    </row>
    <row r="224">
      <c r="C224" s="48"/>
      <c r="D224" s="49"/>
      <c r="F224" s="49"/>
      <c r="G224" s="7"/>
    </row>
    <row r="225">
      <c r="C225" s="48"/>
      <c r="D225" s="49"/>
      <c r="F225" s="49"/>
      <c r="G225" s="7"/>
    </row>
    <row r="226">
      <c r="C226" s="48"/>
      <c r="D226" s="49"/>
      <c r="F226" s="49"/>
      <c r="G226" s="7"/>
    </row>
    <row r="227">
      <c r="C227" s="48"/>
      <c r="D227" s="49"/>
      <c r="F227" s="49"/>
      <c r="G227" s="7"/>
    </row>
    <row r="228">
      <c r="C228" s="48"/>
      <c r="D228" s="49"/>
      <c r="F228" s="49"/>
      <c r="G228" s="7"/>
    </row>
    <row r="229">
      <c r="C229" s="48"/>
      <c r="D229" s="49"/>
      <c r="F229" s="49"/>
      <c r="G229" s="7"/>
    </row>
    <row r="230">
      <c r="C230" s="48"/>
      <c r="D230" s="49"/>
      <c r="F230" s="49"/>
      <c r="G230" s="7"/>
    </row>
    <row r="231">
      <c r="C231" s="48"/>
      <c r="D231" s="49"/>
      <c r="F231" s="49"/>
      <c r="G231" s="7"/>
    </row>
    <row r="232">
      <c r="C232" s="48"/>
      <c r="D232" s="49"/>
      <c r="F232" s="49"/>
      <c r="G232" s="7"/>
    </row>
    <row r="233">
      <c r="C233" s="48"/>
      <c r="D233" s="49"/>
      <c r="F233" s="49"/>
      <c r="G233" s="7"/>
    </row>
    <row r="234">
      <c r="C234" s="48"/>
      <c r="D234" s="49"/>
      <c r="F234" s="49"/>
      <c r="G234" s="7"/>
    </row>
    <row r="235">
      <c r="C235" s="48"/>
      <c r="D235" s="49"/>
      <c r="F235" s="49"/>
      <c r="G235" s="7"/>
    </row>
    <row r="236">
      <c r="C236" s="48"/>
      <c r="D236" s="49"/>
      <c r="F236" s="49"/>
      <c r="G236" s="7"/>
    </row>
    <row r="237">
      <c r="C237" s="48"/>
      <c r="D237" s="49"/>
      <c r="F237" s="49"/>
      <c r="G237" s="7"/>
    </row>
    <row r="238">
      <c r="C238" s="48"/>
      <c r="D238" s="49"/>
      <c r="F238" s="49"/>
      <c r="G238" s="7"/>
    </row>
    <row r="239">
      <c r="C239" s="48"/>
      <c r="D239" s="49"/>
      <c r="F239" s="49"/>
      <c r="G239" s="7"/>
    </row>
    <row r="240">
      <c r="C240" s="48"/>
      <c r="D240" s="49"/>
      <c r="F240" s="49"/>
      <c r="G240" s="7"/>
    </row>
    <row r="241">
      <c r="C241" s="48"/>
      <c r="D241" s="49"/>
      <c r="F241" s="49"/>
      <c r="G241" s="7"/>
    </row>
    <row r="242">
      <c r="C242" s="48"/>
      <c r="D242" s="49"/>
      <c r="F242" s="49"/>
      <c r="G242" s="7"/>
    </row>
    <row r="243">
      <c r="C243" s="48"/>
      <c r="D243" s="49"/>
      <c r="F243" s="49"/>
      <c r="G243" s="7"/>
    </row>
    <row r="244">
      <c r="C244" s="48"/>
      <c r="D244" s="49"/>
      <c r="F244" s="49"/>
      <c r="G244" s="7"/>
    </row>
    <row r="245">
      <c r="C245" s="48"/>
      <c r="D245" s="49"/>
      <c r="F245" s="49"/>
      <c r="G245" s="7"/>
    </row>
    <row r="246">
      <c r="C246" s="48"/>
      <c r="D246" s="49"/>
      <c r="F246" s="49"/>
      <c r="G246" s="7"/>
    </row>
    <row r="247">
      <c r="C247" s="48"/>
      <c r="D247" s="49"/>
      <c r="F247" s="49"/>
      <c r="G247" s="7"/>
    </row>
    <row r="248">
      <c r="C248" s="48"/>
      <c r="D248" s="49"/>
      <c r="F248" s="49"/>
      <c r="G248" s="7"/>
    </row>
    <row r="249">
      <c r="C249" s="48"/>
      <c r="D249" s="49"/>
      <c r="F249" s="49"/>
      <c r="G249" s="7"/>
    </row>
    <row r="250">
      <c r="C250" s="48"/>
      <c r="D250" s="49"/>
      <c r="F250" s="49"/>
      <c r="G250" s="7"/>
    </row>
    <row r="251">
      <c r="C251" s="48"/>
      <c r="D251" s="49"/>
      <c r="F251" s="49"/>
      <c r="G251" s="7"/>
    </row>
    <row r="252">
      <c r="C252" s="48"/>
      <c r="D252" s="49"/>
      <c r="F252" s="49"/>
      <c r="G252" s="7"/>
    </row>
    <row r="253">
      <c r="C253" s="48"/>
      <c r="D253" s="49"/>
      <c r="F253" s="49"/>
      <c r="G253" s="7"/>
    </row>
    <row r="254">
      <c r="C254" s="48"/>
      <c r="D254" s="49"/>
      <c r="F254" s="49"/>
      <c r="G254" s="7"/>
    </row>
    <row r="255">
      <c r="C255" s="48"/>
      <c r="D255" s="49"/>
      <c r="F255" s="49"/>
      <c r="G255" s="7"/>
    </row>
    <row r="256">
      <c r="C256" s="48"/>
      <c r="D256" s="49"/>
      <c r="F256" s="49"/>
      <c r="G256" s="7"/>
    </row>
    <row r="257">
      <c r="C257" s="48"/>
      <c r="D257" s="49"/>
      <c r="F257" s="49"/>
      <c r="G257" s="7"/>
    </row>
    <row r="258">
      <c r="C258" s="48"/>
      <c r="D258" s="49"/>
      <c r="F258" s="49"/>
      <c r="G258" s="7"/>
    </row>
    <row r="259">
      <c r="C259" s="48"/>
      <c r="D259" s="49"/>
      <c r="F259" s="49"/>
      <c r="G259" s="7"/>
    </row>
    <row r="260">
      <c r="C260" s="48"/>
      <c r="D260" s="49"/>
      <c r="F260" s="49"/>
      <c r="G260" s="7"/>
    </row>
    <row r="261">
      <c r="C261" s="48"/>
      <c r="D261" s="49"/>
      <c r="F261" s="49"/>
      <c r="G261" s="7"/>
    </row>
    <row r="262">
      <c r="C262" s="48"/>
      <c r="D262" s="49"/>
      <c r="F262" s="49"/>
      <c r="G262" s="7"/>
    </row>
    <row r="263">
      <c r="C263" s="48"/>
      <c r="D263" s="49"/>
      <c r="F263" s="49"/>
      <c r="G263" s="7"/>
    </row>
    <row r="264">
      <c r="C264" s="48"/>
      <c r="D264" s="49"/>
      <c r="F264" s="49"/>
      <c r="G264" s="7"/>
    </row>
    <row r="265">
      <c r="C265" s="48"/>
      <c r="D265" s="49"/>
      <c r="F265" s="49"/>
      <c r="G265" s="7"/>
    </row>
    <row r="266">
      <c r="C266" s="48"/>
      <c r="D266" s="49"/>
      <c r="F266" s="49"/>
      <c r="G266" s="7"/>
    </row>
    <row r="267">
      <c r="C267" s="48"/>
      <c r="D267" s="49"/>
      <c r="F267" s="49"/>
      <c r="G267" s="7"/>
    </row>
    <row r="268">
      <c r="C268" s="48"/>
      <c r="D268" s="49"/>
      <c r="F268" s="49"/>
      <c r="G268" s="7"/>
    </row>
    <row r="269">
      <c r="C269" s="48"/>
      <c r="D269" s="49"/>
      <c r="F269" s="49"/>
      <c r="G269" s="7"/>
    </row>
    <row r="270">
      <c r="C270" s="48"/>
      <c r="D270" s="49"/>
      <c r="F270" s="49"/>
      <c r="G270" s="7"/>
    </row>
    <row r="271">
      <c r="C271" s="48"/>
      <c r="D271" s="49"/>
      <c r="F271" s="49"/>
      <c r="G271" s="7"/>
    </row>
    <row r="272">
      <c r="C272" s="48"/>
      <c r="D272" s="49"/>
      <c r="F272" s="49"/>
      <c r="G272" s="7"/>
    </row>
    <row r="273">
      <c r="C273" s="48"/>
      <c r="D273" s="49"/>
      <c r="F273" s="49"/>
      <c r="G273" s="7"/>
    </row>
    <row r="274">
      <c r="C274" s="48"/>
      <c r="D274" s="49"/>
      <c r="F274" s="49"/>
      <c r="G274" s="7"/>
    </row>
    <row r="275">
      <c r="C275" s="48"/>
      <c r="D275" s="49"/>
      <c r="F275" s="49"/>
      <c r="G275" s="7"/>
    </row>
    <row r="276">
      <c r="C276" s="48"/>
      <c r="D276" s="49"/>
      <c r="F276" s="49"/>
      <c r="G276" s="7"/>
    </row>
    <row r="277">
      <c r="C277" s="48"/>
      <c r="D277" s="49"/>
      <c r="F277" s="49"/>
      <c r="G277" s="7"/>
    </row>
    <row r="278">
      <c r="C278" s="48"/>
      <c r="D278" s="49"/>
      <c r="F278" s="49"/>
      <c r="G278" s="7"/>
    </row>
    <row r="279">
      <c r="C279" s="48"/>
      <c r="D279" s="49"/>
      <c r="F279" s="49"/>
      <c r="G279" s="7"/>
    </row>
    <row r="280">
      <c r="C280" s="48"/>
      <c r="D280" s="49"/>
      <c r="F280" s="49"/>
      <c r="G280" s="7"/>
    </row>
    <row r="281">
      <c r="C281" s="48"/>
      <c r="D281" s="49"/>
      <c r="F281" s="49"/>
      <c r="G281" s="7"/>
    </row>
    <row r="282">
      <c r="C282" s="48"/>
      <c r="D282" s="49"/>
      <c r="F282" s="49"/>
      <c r="G282" s="7"/>
    </row>
    <row r="283">
      <c r="C283" s="48"/>
      <c r="D283" s="49"/>
      <c r="F283" s="49"/>
      <c r="G283" s="7"/>
    </row>
    <row r="284">
      <c r="C284" s="48"/>
      <c r="D284" s="49"/>
      <c r="F284" s="49"/>
      <c r="G284" s="7"/>
    </row>
    <row r="285">
      <c r="C285" s="48"/>
      <c r="D285" s="49"/>
      <c r="F285" s="49"/>
      <c r="G285" s="7"/>
    </row>
    <row r="286">
      <c r="C286" s="48"/>
      <c r="D286" s="49"/>
      <c r="F286" s="49"/>
      <c r="G286" s="7"/>
    </row>
    <row r="287">
      <c r="C287" s="48"/>
      <c r="D287" s="49"/>
      <c r="F287" s="49"/>
      <c r="G287" s="7"/>
    </row>
    <row r="288">
      <c r="C288" s="48"/>
      <c r="D288" s="49"/>
      <c r="F288" s="49"/>
      <c r="G288" s="7"/>
    </row>
    <row r="289">
      <c r="C289" s="48"/>
      <c r="D289" s="49"/>
      <c r="F289" s="49"/>
      <c r="G289" s="7"/>
    </row>
    <row r="290">
      <c r="C290" s="48"/>
      <c r="D290" s="49"/>
      <c r="F290" s="49"/>
      <c r="G290" s="7"/>
    </row>
    <row r="291">
      <c r="C291" s="48"/>
      <c r="D291" s="49"/>
      <c r="F291" s="49"/>
      <c r="G291" s="7"/>
    </row>
    <row r="292">
      <c r="C292" s="48"/>
      <c r="D292" s="49"/>
      <c r="F292" s="49"/>
      <c r="G292" s="7"/>
    </row>
    <row r="293">
      <c r="C293" s="48"/>
      <c r="D293" s="49"/>
      <c r="F293" s="49"/>
      <c r="G293" s="7"/>
    </row>
    <row r="294">
      <c r="C294" s="48"/>
      <c r="D294" s="49"/>
      <c r="F294" s="49"/>
      <c r="G294" s="7"/>
    </row>
    <row r="295">
      <c r="C295" s="48"/>
      <c r="D295" s="49"/>
      <c r="F295" s="49"/>
      <c r="G295" s="7"/>
    </row>
    <row r="296">
      <c r="C296" s="48"/>
      <c r="D296" s="49"/>
      <c r="F296" s="49"/>
      <c r="G296" s="7"/>
    </row>
    <row r="297">
      <c r="C297" s="48"/>
      <c r="D297" s="49"/>
      <c r="F297" s="49"/>
      <c r="G297" s="7"/>
    </row>
    <row r="298">
      <c r="C298" s="48"/>
      <c r="D298" s="49"/>
      <c r="F298" s="49"/>
      <c r="G298" s="7"/>
    </row>
    <row r="299">
      <c r="C299" s="48"/>
      <c r="D299" s="49"/>
      <c r="F299" s="49"/>
      <c r="G299" s="7"/>
    </row>
    <row r="300">
      <c r="C300" s="48"/>
      <c r="D300" s="49"/>
      <c r="F300" s="49"/>
      <c r="G300" s="7"/>
    </row>
    <row r="301">
      <c r="C301" s="48"/>
      <c r="D301" s="49"/>
      <c r="F301" s="49"/>
      <c r="G301" s="7"/>
    </row>
    <row r="302">
      <c r="C302" s="48"/>
      <c r="D302" s="49"/>
      <c r="F302" s="49"/>
      <c r="G302" s="7"/>
    </row>
    <row r="303">
      <c r="C303" s="48"/>
      <c r="D303" s="49"/>
      <c r="F303" s="49"/>
      <c r="G303" s="7"/>
    </row>
    <row r="304">
      <c r="C304" s="48"/>
      <c r="D304" s="49"/>
      <c r="F304" s="49"/>
      <c r="G304" s="7"/>
    </row>
    <row r="305">
      <c r="C305" s="48"/>
      <c r="D305" s="49"/>
      <c r="F305" s="49"/>
      <c r="G305" s="7"/>
    </row>
    <row r="306">
      <c r="C306" s="48"/>
      <c r="D306" s="49"/>
      <c r="F306" s="49"/>
      <c r="G306" s="7"/>
    </row>
    <row r="307">
      <c r="C307" s="48"/>
      <c r="D307" s="49"/>
      <c r="F307" s="49"/>
      <c r="G307" s="7"/>
    </row>
    <row r="308">
      <c r="C308" s="48"/>
      <c r="D308" s="49"/>
      <c r="F308" s="49"/>
      <c r="G308" s="7"/>
    </row>
    <row r="309">
      <c r="C309" s="48"/>
      <c r="D309" s="49"/>
      <c r="F309" s="49"/>
      <c r="G309" s="7"/>
    </row>
    <row r="310">
      <c r="C310" s="48"/>
      <c r="D310" s="49"/>
      <c r="F310" s="49"/>
      <c r="G310" s="7"/>
    </row>
    <row r="311">
      <c r="C311" s="48"/>
      <c r="D311" s="49"/>
      <c r="F311" s="49"/>
      <c r="G311" s="7"/>
    </row>
    <row r="312">
      <c r="C312" s="48"/>
      <c r="D312" s="49"/>
      <c r="F312" s="49"/>
      <c r="G312" s="7"/>
    </row>
    <row r="313">
      <c r="C313" s="48"/>
      <c r="D313" s="49"/>
      <c r="F313" s="49"/>
      <c r="G313" s="7"/>
    </row>
    <row r="314">
      <c r="C314" s="48"/>
      <c r="D314" s="49"/>
      <c r="F314" s="49"/>
      <c r="G314" s="7"/>
    </row>
    <row r="315">
      <c r="C315" s="48"/>
      <c r="D315" s="49"/>
      <c r="F315" s="49"/>
      <c r="G315" s="7"/>
    </row>
    <row r="316">
      <c r="C316" s="48"/>
      <c r="D316" s="49"/>
      <c r="F316" s="49"/>
      <c r="G316" s="7"/>
    </row>
    <row r="317">
      <c r="C317" s="48"/>
      <c r="D317" s="49"/>
      <c r="F317" s="49"/>
      <c r="G317" s="7"/>
    </row>
    <row r="318">
      <c r="C318" s="48"/>
      <c r="D318" s="49"/>
      <c r="F318" s="49"/>
      <c r="G318" s="7"/>
    </row>
    <row r="319">
      <c r="C319" s="48"/>
      <c r="D319" s="49"/>
      <c r="F319" s="49"/>
      <c r="G319" s="7"/>
    </row>
    <row r="320">
      <c r="C320" s="48"/>
      <c r="D320" s="49"/>
      <c r="F320" s="49"/>
      <c r="G320" s="7"/>
    </row>
    <row r="321">
      <c r="C321" s="48"/>
      <c r="D321" s="49"/>
      <c r="F321" s="49"/>
      <c r="G321" s="7"/>
    </row>
    <row r="322">
      <c r="C322" s="48"/>
      <c r="D322" s="49"/>
      <c r="F322" s="49"/>
      <c r="G322" s="7"/>
    </row>
    <row r="323">
      <c r="C323" s="48"/>
      <c r="D323" s="49"/>
      <c r="F323" s="49"/>
      <c r="G323" s="7"/>
    </row>
    <row r="324">
      <c r="C324" s="48"/>
      <c r="D324" s="49"/>
      <c r="F324" s="49"/>
      <c r="G324" s="7"/>
    </row>
    <row r="325">
      <c r="C325" s="48"/>
      <c r="D325" s="49"/>
      <c r="F325" s="49"/>
      <c r="G325" s="7"/>
    </row>
    <row r="326">
      <c r="C326" s="48"/>
      <c r="D326" s="49"/>
      <c r="F326" s="49"/>
      <c r="G326" s="7"/>
    </row>
    <row r="327">
      <c r="C327" s="48"/>
      <c r="D327" s="49"/>
      <c r="F327" s="49"/>
      <c r="G327" s="7"/>
    </row>
    <row r="328">
      <c r="C328" s="48"/>
      <c r="D328" s="49"/>
      <c r="F328" s="49"/>
      <c r="G328" s="7"/>
    </row>
    <row r="329">
      <c r="C329" s="48"/>
      <c r="D329" s="49"/>
      <c r="F329" s="49"/>
      <c r="G329" s="7"/>
    </row>
    <row r="330">
      <c r="C330" s="48"/>
      <c r="D330" s="49"/>
      <c r="F330" s="49"/>
      <c r="G330" s="7"/>
    </row>
    <row r="331">
      <c r="C331" s="48"/>
      <c r="D331" s="49"/>
      <c r="F331" s="49"/>
      <c r="G331" s="7"/>
    </row>
    <row r="332">
      <c r="C332" s="48"/>
      <c r="D332" s="49"/>
      <c r="F332" s="49"/>
      <c r="G332" s="7"/>
    </row>
    <row r="333">
      <c r="C333" s="48"/>
      <c r="D333" s="49"/>
      <c r="F333" s="49"/>
      <c r="G333" s="7"/>
    </row>
    <row r="334">
      <c r="C334" s="48"/>
      <c r="D334" s="49"/>
      <c r="F334" s="49"/>
      <c r="G334" s="7"/>
    </row>
    <row r="335">
      <c r="C335" s="48"/>
      <c r="D335" s="49"/>
      <c r="F335" s="49"/>
      <c r="G335" s="7"/>
    </row>
    <row r="336">
      <c r="C336" s="48"/>
      <c r="D336" s="49"/>
      <c r="F336" s="49"/>
      <c r="G336" s="7"/>
    </row>
    <row r="337">
      <c r="C337" s="48"/>
      <c r="D337" s="49"/>
      <c r="F337" s="49"/>
      <c r="G337" s="7"/>
    </row>
    <row r="338">
      <c r="C338" s="48"/>
      <c r="D338" s="49"/>
      <c r="F338" s="49"/>
      <c r="G338" s="7"/>
    </row>
    <row r="339">
      <c r="C339" s="48"/>
      <c r="D339" s="49"/>
      <c r="F339" s="49"/>
      <c r="G339" s="7"/>
    </row>
    <row r="340">
      <c r="C340" s="48"/>
      <c r="D340" s="49"/>
      <c r="F340" s="49"/>
      <c r="G340" s="7"/>
    </row>
    <row r="341">
      <c r="C341" s="48"/>
      <c r="D341" s="49"/>
      <c r="F341" s="49"/>
      <c r="G341" s="7"/>
    </row>
    <row r="342">
      <c r="C342" s="48"/>
      <c r="D342" s="49"/>
      <c r="F342" s="49"/>
      <c r="G342" s="7"/>
    </row>
    <row r="343">
      <c r="C343" s="48"/>
      <c r="D343" s="49"/>
      <c r="F343" s="49"/>
      <c r="G343" s="7"/>
    </row>
    <row r="344">
      <c r="C344" s="48"/>
      <c r="D344" s="49"/>
      <c r="F344" s="49"/>
      <c r="G344" s="7"/>
    </row>
    <row r="345">
      <c r="C345" s="48"/>
      <c r="D345" s="49"/>
      <c r="F345" s="49"/>
      <c r="G345" s="7"/>
    </row>
    <row r="346">
      <c r="C346" s="48"/>
      <c r="D346" s="49"/>
      <c r="F346" s="49"/>
      <c r="G346" s="7"/>
    </row>
    <row r="347">
      <c r="C347" s="48"/>
      <c r="D347" s="49"/>
      <c r="F347" s="49"/>
      <c r="G347" s="7"/>
    </row>
    <row r="348">
      <c r="C348" s="48"/>
      <c r="D348" s="49"/>
      <c r="F348" s="49"/>
      <c r="G348" s="7"/>
    </row>
    <row r="349">
      <c r="C349" s="48"/>
      <c r="D349" s="49"/>
      <c r="F349" s="49"/>
      <c r="G349" s="7"/>
    </row>
    <row r="350">
      <c r="C350" s="48"/>
      <c r="D350" s="49"/>
      <c r="F350" s="49"/>
      <c r="G350" s="7"/>
    </row>
    <row r="351">
      <c r="C351" s="48"/>
      <c r="D351" s="49"/>
      <c r="F351" s="49"/>
      <c r="G351" s="7"/>
    </row>
    <row r="352">
      <c r="C352" s="48"/>
      <c r="D352" s="49"/>
      <c r="F352" s="49"/>
      <c r="G352" s="7"/>
    </row>
    <row r="353">
      <c r="C353" s="48"/>
      <c r="D353" s="49"/>
      <c r="F353" s="49"/>
      <c r="G353" s="7"/>
    </row>
    <row r="354">
      <c r="C354" s="48"/>
      <c r="D354" s="49"/>
      <c r="F354" s="49"/>
      <c r="G354" s="7"/>
    </row>
    <row r="355">
      <c r="C355" s="48"/>
      <c r="D355" s="49"/>
      <c r="F355" s="49"/>
      <c r="G355" s="7"/>
    </row>
    <row r="356">
      <c r="C356" s="48"/>
      <c r="D356" s="49"/>
      <c r="F356" s="49"/>
      <c r="G356" s="7"/>
    </row>
    <row r="357">
      <c r="C357" s="48"/>
      <c r="D357" s="49"/>
      <c r="F357" s="49"/>
      <c r="G357" s="7"/>
    </row>
    <row r="358">
      <c r="C358" s="48"/>
      <c r="D358" s="49"/>
      <c r="F358" s="49"/>
      <c r="G358" s="7"/>
    </row>
    <row r="359">
      <c r="C359" s="48"/>
      <c r="D359" s="49"/>
      <c r="F359" s="49"/>
      <c r="G359" s="7"/>
    </row>
    <row r="360">
      <c r="C360" s="48"/>
      <c r="D360" s="49"/>
      <c r="F360" s="49"/>
      <c r="G360" s="7"/>
    </row>
    <row r="361">
      <c r="C361" s="48"/>
      <c r="D361" s="49"/>
      <c r="F361" s="49"/>
      <c r="G361" s="7"/>
    </row>
    <row r="362">
      <c r="C362" s="48"/>
      <c r="D362" s="49"/>
      <c r="F362" s="49"/>
      <c r="G362" s="7"/>
    </row>
    <row r="363">
      <c r="C363" s="48"/>
      <c r="D363" s="49"/>
      <c r="F363" s="49"/>
      <c r="G363" s="7"/>
    </row>
    <row r="364">
      <c r="C364" s="48"/>
      <c r="D364" s="49"/>
      <c r="F364" s="49"/>
      <c r="G364" s="7"/>
    </row>
    <row r="365">
      <c r="C365" s="48"/>
      <c r="D365" s="49"/>
      <c r="F365" s="49"/>
      <c r="G365" s="7"/>
    </row>
    <row r="366">
      <c r="C366" s="48"/>
      <c r="D366" s="49"/>
      <c r="F366" s="49"/>
      <c r="G366" s="7"/>
    </row>
    <row r="367">
      <c r="C367" s="48"/>
      <c r="D367" s="49"/>
      <c r="F367" s="49"/>
      <c r="G367" s="7"/>
    </row>
    <row r="368">
      <c r="C368" s="48"/>
      <c r="D368" s="49"/>
      <c r="F368" s="49"/>
      <c r="G368" s="7"/>
    </row>
    <row r="369">
      <c r="C369" s="48"/>
      <c r="D369" s="49"/>
      <c r="F369" s="49"/>
      <c r="G369" s="7"/>
    </row>
    <row r="370">
      <c r="C370" s="48"/>
      <c r="D370" s="49"/>
      <c r="F370" s="49"/>
      <c r="G370" s="7"/>
    </row>
    <row r="371">
      <c r="C371" s="48"/>
      <c r="D371" s="49"/>
      <c r="F371" s="49"/>
      <c r="G371" s="7"/>
    </row>
    <row r="372">
      <c r="C372" s="48"/>
      <c r="D372" s="49"/>
      <c r="F372" s="49"/>
      <c r="G372" s="7"/>
    </row>
    <row r="373">
      <c r="C373" s="48"/>
      <c r="D373" s="49"/>
      <c r="F373" s="49"/>
      <c r="G373" s="7"/>
    </row>
    <row r="374">
      <c r="C374" s="48"/>
      <c r="D374" s="49"/>
      <c r="F374" s="49"/>
      <c r="G374" s="7"/>
    </row>
    <row r="375">
      <c r="C375" s="48"/>
      <c r="D375" s="49"/>
      <c r="F375" s="49"/>
      <c r="G375" s="7"/>
    </row>
    <row r="376">
      <c r="C376" s="48"/>
      <c r="D376" s="49"/>
      <c r="F376" s="49"/>
      <c r="G376" s="7"/>
    </row>
    <row r="377">
      <c r="C377" s="48"/>
      <c r="D377" s="49"/>
      <c r="F377" s="49"/>
      <c r="G377" s="7"/>
    </row>
    <row r="378">
      <c r="C378" s="48"/>
      <c r="D378" s="49"/>
      <c r="F378" s="49"/>
      <c r="G378" s="7"/>
    </row>
    <row r="379">
      <c r="C379" s="48"/>
      <c r="D379" s="49"/>
      <c r="F379" s="49"/>
      <c r="G379" s="7"/>
    </row>
    <row r="380">
      <c r="C380" s="48"/>
      <c r="D380" s="49"/>
      <c r="F380" s="49"/>
      <c r="G380" s="7"/>
    </row>
    <row r="381">
      <c r="C381" s="48"/>
      <c r="D381" s="49"/>
      <c r="F381" s="49"/>
      <c r="G381" s="7"/>
    </row>
    <row r="382">
      <c r="C382" s="48"/>
      <c r="D382" s="49"/>
      <c r="F382" s="49"/>
      <c r="G382" s="7"/>
    </row>
    <row r="383">
      <c r="C383" s="48"/>
      <c r="D383" s="49"/>
      <c r="F383" s="49"/>
      <c r="G383" s="7"/>
    </row>
    <row r="384">
      <c r="C384" s="48"/>
      <c r="D384" s="49"/>
      <c r="F384" s="49"/>
      <c r="G384" s="7"/>
    </row>
    <row r="385">
      <c r="C385" s="48"/>
      <c r="D385" s="49"/>
      <c r="F385" s="49"/>
      <c r="G385" s="7"/>
    </row>
    <row r="386">
      <c r="C386" s="48"/>
      <c r="D386" s="49"/>
      <c r="F386" s="49"/>
      <c r="G386" s="7"/>
    </row>
    <row r="387">
      <c r="C387" s="48"/>
      <c r="D387" s="49"/>
      <c r="F387" s="49"/>
      <c r="G387" s="7"/>
    </row>
    <row r="388">
      <c r="C388" s="48"/>
      <c r="D388" s="49"/>
      <c r="F388" s="49"/>
      <c r="G388" s="7"/>
    </row>
    <row r="389">
      <c r="C389" s="48"/>
      <c r="D389" s="49"/>
      <c r="F389" s="49"/>
      <c r="G389" s="7"/>
    </row>
    <row r="390">
      <c r="C390" s="48"/>
      <c r="D390" s="49"/>
      <c r="F390" s="49"/>
      <c r="G390" s="7"/>
    </row>
    <row r="391">
      <c r="C391" s="48"/>
      <c r="D391" s="49"/>
      <c r="F391" s="49"/>
      <c r="G391" s="7"/>
    </row>
    <row r="392">
      <c r="C392" s="48"/>
      <c r="D392" s="49"/>
      <c r="F392" s="49"/>
      <c r="G392" s="7"/>
    </row>
    <row r="393">
      <c r="C393" s="48"/>
      <c r="D393" s="49"/>
      <c r="F393" s="49"/>
      <c r="G393" s="7"/>
    </row>
    <row r="394">
      <c r="C394" s="48"/>
      <c r="D394" s="49"/>
      <c r="F394" s="49"/>
      <c r="G394" s="7"/>
    </row>
    <row r="395">
      <c r="C395" s="48"/>
      <c r="D395" s="49"/>
      <c r="F395" s="49"/>
      <c r="G395" s="7"/>
    </row>
    <row r="396">
      <c r="C396" s="48"/>
      <c r="D396" s="49"/>
      <c r="F396" s="49"/>
      <c r="G396" s="7"/>
    </row>
    <row r="397">
      <c r="C397" s="48"/>
      <c r="D397" s="49"/>
      <c r="F397" s="49"/>
      <c r="G397" s="7"/>
    </row>
    <row r="398">
      <c r="C398" s="48"/>
      <c r="D398" s="49"/>
      <c r="F398" s="49"/>
      <c r="G398" s="7"/>
    </row>
    <row r="399">
      <c r="C399" s="48"/>
      <c r="D399" s="49"/>
      <c r="F399" s="49"/>
      <c r="G399" s="7"/>
    </row>
    <row r="400">
      <c r="C400" s="48"/>
      <c r="D400" s="49"/>
      <c r="F400" s="49"/>
      <c r="G400" s="7"/>
    </row>
    <row r="401">
      <c r="C401" s="48"/>
      <c r="D401" s="49"/>
      <c r="F401" s="49"/>
      <c r="G401" s="7"/>
    </row>
    <row r="402">
      <c r="C402" s="48"/>
      <c r="D402" s="49"/>
      <c r="F402" s="49"/>
      <c r="G402" s="7"/>
    </row>
    <row r="403">
      <c r="C403" s="48"/>
      <c r="D403" s="49"/>
      <c r="F403" s="49"/>
      <c r="G403" s="7"/>
    </row>
    <row r="404">
      <c r="C404" s="48"/>
      <c r="D404" s="49"/>
      <c r="F404" s="49"/>
      <c r="G404" s="7"/>
    </row>
    <row r="405">
      <c r="C405" s="48"/>
      <c r="D405" s="49"/>
      <c r="F405" s="49"/>
      <c r="G405" s="7"/>
    </row>
    <row r="406">
      <c r="C406" s="48"/>
      <c r="D406" s="49"/>
      <c r="F406" s="49"/>
      <c r="G406" s="7"/>
    </row>
    <row r="407">
      <c r="C407" s="48"/>
      <c r="D407" s="49"/>
      <c r="F407" s="49"/>
      <c r="G407" s="7"/>
    </row>
    <row r="408">
      <c r="C408" s="48"/>
      <c r="D408" s="49"/>
      <c r="F408" s="49"/>
      <c r="G408" s="7"/>
    </row>
    <row r="409">
      <c r="C409" s="48"/>
      <c r="D409" s="49"/>
      <c r="F409" s="49"/>
      <c r="G409" s="7"/>
    </row>
    <row r="410">
      <c r="C410" s="48"/>
      <c r="D410" s="49"/>
      <c r="F410" s="49"/>
      <c r="G410" s="7"/>
    </row>
    <row r="411">
      <c r="C411" s="48"/>
      <c r="D411" s="49"/>
      <c r="F411" s="49"/>
      <c r="G411" s="7"/>
    </row>
    <row r="412">
      <c r="C412" s="48"/>
      <c r="D412" s="49"/>
      <c r="F412" s="49"/>
      <c r="G412" s="7"/>
    </row>
    <row r="413">
      <c r="C413" s="48"/>
      <c r="D413" s="49"/>
      <c r="F413" s="49"/>
      <c r="G413" s="7"/>
    </row>
    <row r="414">
      <c r="C414" s="48"/>
      <c r="D414" s="49"/>
      <c r="F414" s="49"/>
      <c r="G414" s="7"/>
    </row>
    <row r="415">
      <c r="C415" s="48"/>
      <c r="D415" s="49"/>
      <c r="F415" s="49"/>
      <c r="G415" s="7"/>
    </row>
    <row r="416">
      <c r="C416" s="48"/>
      <c r="D416" s="49"/>
      <c r="F416" s="49"/>
      <c r="G416" s="7"/>
    </row>
    <row r="417">
      <c r="C417" s="48"/>
      <c r="D417" s="49"/>
      <c r="F417" s="49"/>
      <c r="G417" s="7"/>
    </row>
    <row r="418">
      <c r="C418" s="48"/>
      <c r="D418" s="49"/>
      <c r="F418" s="49"/>
      <c r="G418" s="7"/>
    </row>
    <row r="419">
      <c r="C419" s="48"/>
      <c r="D419" s="49"/>
      <c r="F419" s="49"/>
      <c r="G419" s="7"/>
    </row>
    <row r="420">
      <c r="C420" s="48"/>
      <c r="D420" s="49"/>
      <c r="F420" s="49"/>
      <c r="G420" s="7"/>
    </row>
    <row r="421">
      <c r="C421" s="48"/>
      <c r="D421" s="49"/>
      <c r="F421" s="49"/>
      <c r="G421" s="7"/>
    </row>
    <row r="422">
      <c r="C422" s="48"/>
      <c r="D422" s="49"/>
      <c r="F422" s="49"/>
      <c r="G422" s="7"/>
    </row>
    <row r="423">
      <c r="C423" s="48"/>
      <c r="D423" s="49"/>
      <c r="F423" s="49"/>
      <c r="G423" s="7"/>
    </row>
    <row r="424">
      <c r="C424" s="48"/>
      <c r="D424" s="49"/>
      <c r="F424" s="49"/>
      <c r="G424" s="7"/>
    </row>
    <row r="425">
      <c r="C425" s="48"/>
      <c r="D425" s="49"/>
      <c r="F425" s="49"/>
      <c r="G425" s="7"/>
    </row>
    <row r="426">
      <c r="C426" s="48"/>
      <c r="D426" s="49"/>
      <c r="F426" s="49"/>
      <c r="G426" s="7"/>
    </row>
    <row r="427">
      <c r="C427" s="48"/>
      <c r="D427" s="49"/>
      <c r="F427" s="49"/>
      <c r="G427" s="7"/>
    </row>
    <row r="428">
      <c r="C428" s="48"/>
      <c r="D428" s="49"/>
      <c r="F428" s="49"/>
      <c r="G428" s="7"/>
    </row>
    <row r="429">
      <c r="C429" s="48"/>
      <c r="D429" s="49"/>
      <c r="F429" s="49"/>
      <c r="G429" s="7"/>
    </row>
    <row r="430">
      <c r="C430" s="48"/>
      <c r="D430" s="49"/>
      <c r="F430" s="49"/>
      <c r="G430" s="7"/>
    </row>
    <row r="431">
      <c r="C431" s="48"/>
      <c r="D431" s="49"/>
      <c r="F431" s="49"/>
      <c r="G431" s="7"/>
    </row>
    <row r="432">
      <c r="C432" s="48"/>
      <c r="D432" s="49"/>
      <c r="F432" s="49"/>
      <c r="G432" s="7"/>
    </row>
    <row r="433">
      <c r="C433" s="48"/>
      <c r="D433" s="49"/>
      <c r="F433" s="49"/>
      <c r="G433" s="7"/>
    </row>
    <row r="434">
      <c r="C434" s="48"/>
      <c r="D434" s="49"/>
      <c r="F434" s="49"/>
      <c r="G434" s="7"/>
    </row>
    <row r="435">
      <c r="C435" s="48"/>
      <c r="D435" s="49"/>
      <c r="F435" s="49"/>
      <c r="G435" s="7"/>
    </row>
    <row r="436">
      <c r="C436" s="48"/>
      <c r="D436" s="49"/>
      <c r="F436" s="49"/>
      <c r="G436" s="7"/>
    </row>
    <row r="437">
      <c r="C437" s="48"/>
      <c r="D437" s="49"/>
      <c r="F437" s="49"/>
      <c r="G437" s="7"/>
    </row>
    <row r="438">
      <c r="C438" s="48"/>
      <c r="D438" s="49"/>
      <c r="F438" s="49"/>
      <c r="G438" s="7"/>
    </row>
    <row r="439">
      <c r="C439" s="48"/>
      <c r="D439" s="49"/>
      <c r="F439" s="49"/>
      <c r="G439" s="7"/>
    </row>
    <row r="440">
      <c r="C440" s="48"/>
      <c r="D440" s="49"/>
      <c r="F440" s="49"/>
      <c r="G440" s="7"/>
    </row>
    <row r="441">
      <c r="C441" s="48"/>
      <c r="D441" s="49"/>
      <c r="F441" s="49"/>
      <c r="G441" s="7"/>
    </row>
    <row r="442">
      <c r="C442" s="48"/>
      <c r="D442" s="49"/>
      <c r="F442" s="49"/>
      <c r="G442" s="7"/>
    </row>
    <row r="443">
      <c r="C443" s="48"/>
      <c r="D443" s="49"/>
      <c r="F443" s="49"/>
      <c r="G443" s="7"/>
    </row>
    <row r="444">
      <c r="C444" s="48"/>
      <c r="D444" s="49"/>
      <c r="F444" s="49"/>
      <c r="G444" s="7"/>
    </row>
    <row r="445">
      <c r="C445" s="48"/>
      <c r="D445" s="49"/>
      <c r="F445" s="49"/>
      <c r="G445" s="7"/>
    </row>
    <row r="446">
      <c r="C446" s="48"/>
      <c r="D446" s="49"/>
      <c r="F446" s="49"/>
      <c r="G446" s="7"/>
    </row>
    <row r="447">
      <c r="C447" s="48"/>
      <c r="D447" s="49"/>
      <c r="F447" s="49"/>
      <c r="G447" s="7"/>
    </row>
    <row r="448">
      <c r="C448" s="48"/>
      <c r="D448" s="49"/>
      <c r="F448" s="49"/>
      <c r="G448" s="7"/>
    </row>
    <row r="449">
      <c r="C449" s="48"/>
      <c r="D449" s="49"/>
      <c r="F449" s="49"/>
      <c r="G449" s="7"/>
    </row>
    <row r="450">
      <c r="C450" s="48"/>
      <c r="D450" s="49"/>
      <c r="F450" s="49"/>
      <c r="G450" s="7"/>
    </row>
    <row r="451">
      <c r="C451" s="48"/>
      <c r="D451" s="49"/>
      <c r="F451" s="49"/>
      <c r="G451" s="7"/>
    </row>
    <row r="452">
      <c r="C452" s="48"/>
      <c r="D452" s="49"/>
      <c r="F452" s="49"/>
      <c r="G452" s="7"/>
    </row>
    <row r="453">
      <c r="C453" s="48"/>
      <c r="D453" s="49"/>
      <c r="F453" s="49"/>
      <c r="G453" s="7"/>
    </row>
    <row r="454">
      <c r="C454" s="48"/>
      <c r="D454" s="49"/>
      <c r="F454" s="49"/>
      <c r="G454" s="7"/>
    </row>
    <row r="455">
      <c r="C455" s="48"/>
      <c r="D455" s="49"/>
      <c r="F455" s="49"/>
      <c r="G455" s="7"/>
    </row>
    <row r="456">
      <c r="C456" s="48"/>
      <c r="D456" s="49"/>
      <c r="F456" s="49"/>
      <c r="G456" s="7"/>
    </row>
    <row r="457">
      <c r="C457" s="48"/>
      <c r="D457" s="49"/>
      <c r="F457" s="49"/>
      <c r="G457" s="7"/>
    </row>
    <row r="458">
      <c r="C458" s="48"/>
      <c r="D458" s="49"/>
      <c r="F458" s="49"/>
      <c r="G458" s="7"/>
    </row>
    <row r="459">
      <c r="C459" s="48"/>
      <c r="D459" s="49"/>
      <c r="F459" s="49"/>
      <c r="G459" s="7"/>
    </row>
    <row r="460">
      <c r="C460" s="48"/>
      <c r="D460" s="49"/>
      <c r="F460" s="49"/>
      <c r="G460" s="7"/>
    </row>
    <row r="461">
      <c r="C461" s="48"/>
      <c r="D461" s="49"/>
      <c r="F461" s="49"/>
      <c r="G461" s="7"/>
    </row>
    <row r="462">
      <c r="C462" s="48"/>
      <c r="D462" s="49"/>
      <c r="F462" s="49"/>
      <c r="G462" s="7"/>
    </row>
    <row r="463">
      <c r="C463" s="48"/>
      <c r="D463" s="49"/>
      <c r="F463" s="49"/>
      <c r="G463" s="7"/>
    </row>
    <row r="464">
      <c r="C464" s="48"/>
      <c r="D464" s="49"/>
      <c r="F464" s="49"/>
      <c r="G464" s="7"/>
    </row>
    <row r="465">
      <c r="C465" s="48"/>
      <c r="D465" s="49"/>
      <c r="F465" s="49"/>
      <c r="G465" s="7"/>
    </row>
    <row r="466">
      <c r="C466" s="48"/>
      <c r="D466" s="49"/>
      <c r="F466" s="49"/>
      <c r="G466" s="7"/>
    </row>
    <row r="467">
      <c r="C467" s="48"/>
      <c r="D467" s="49"/>
      <c r="F467" s="49"/>
      <c r="G467" s="7"/>
    </row>
    <row r="468">
      <c r="C468" s="48"/>
      <c r="D468" s="49"/>
      <c r="F468" s="49"/>
      <c r="G468" s="7"/>
    </row>
    <row r="469">
      <c r="C469" s="48"/>
      <c r="D469" s="49"/>
      <c r="F469" s="49"/>
      <c r="G469" s="7"/>
    </row>
    <row r="470">
      <c r="C470" s="48"/>
      <c r="D470" s="49"/>
      <c r="F470" s="49"/>
      <c r="G470" s="7"/>
    </row>
    <row r="471">
      <c r="C471" s="48"/>
      <c r="D471" s="49"/>
      <c r="F471" s="49"/>
      <c r="G471" s="7"/>
    </row>
    <row r="472">
      <c r="C472" s="48"/>
      <c r="D472" s="49"/>
      <c r="F472" s="49"/>
      <c r="G472" s="7"/>
    </row>
    <row r="473">
      <c r="C473" s="48"/>
      <c r="D473" s="49"/>
      <c r="F473" s="49"/>
      <c r="G473" s="7"/>
    </row>
    <row r="474">
      <c r="C474" s="48"/>
      <c r="D474" s="49"/>
      <c r="F474" s="49"/>
      <c r="G474" s="7"/>
    </row>
    <row r="475">
      <c r="C475" s="48"/>
      <c r="D475" s="49"/>
      <c r="F475" s="49"/>
      <c r="G475" s="7"/>
    </row>
    <row r="476">
      <c r="C476" s="48"/>
      <c r="D476" s="49"/>
      <c r="F476" s="49"/>
      <c r="G476" s="7"/>
    </row>
    <row r="477">
      <c r="C477" s="48"/>
      <c r="D477" s="49"/>
      <c r="F477" s="49"/>
      <c r="G477" s="7"/>
    </row>
    <row r="478">
      <c r="C478" s="48"/>
      <c r="D478" s="49"/>
      <c r="F478" s="49"/>
      <c r="G478" s="7"/>
    </row>
    <row r="479">
      <c r="C479" s="48"/>
      <c r="D479" s="49"/>
      <c r="F479" s="49"/>
      <c r="G479" s="7"/>
    </row>
    <row r="480">
      <c r="C480" s="48"/>
      <c r="D480" s="49"/>
      <c r="F480" s="49"/>
      <c r="G480" s="7"/>
    </row>
    <row r="481">
      <c r="C481" s="48"/>
      <c r="D481" s="49"/>
      <c r="F481" s="49"/>
      <c r="G481" s="7"/>
    </row>
    <row r="482">
      <c r="C482" s="48"/>
      <c r="D482" s="49"/>
      <c r="F482" s="49"/>
      <c r="G482" s="7"/>
    </row>
    <row r="483">
      <c r="C483" s="48"/>
      <c r="D483" s="49"/>
      <c r="F483" s="49"/>
      <c r="G483" s="7"/>
    </row>
    <row r="484">
      <c r="C484" s="48"/>
      <c r="D484" s="49"/>
      <c r="F484" s="49"/>
      <c r="G484" s="7"/>
    </row>
    <row r="485">
      <c r="C485" s="48"/>
      <c r="D485" s="49"/>
      <c r="F485" s="49"/>
      <c r="G485" s="7"/>
    </row>
    <row r="486">
      <c r="C486" s="48"/>
      <c r="D486" s="49"/>
      <c r="F486" s="49"/>
      <c r="G486" s="7"/>
    </row>
    <row r="487">
      <c r="C487" s="48"/>
      <c r="D487" s="49"/>
      <c r="F487" s="49"/>
      <c r="G487" s="7"/>
    </row>
    <row r="488">
      <c r="C488" s="48"/>
      <c r="D488" s="49"/>
      <c r="F488" s="49"/>
      <c r="G488" s="7"/>
    </row>
    <row r="489">
      <c r="C489" s="48"/>
      <c r="D489" s="49"/>
      <c r="F489" s="49"/>
      <c r="G489" s="7"/>
    </row>
    <row r="490">
      <c r="C490" s="48"/>
      <c r="D490" s="49"/>
      <c r="F490" s="49"/>
      <c r="G490" s="7"/>
    </row>
    <row r="491">
      <c r="C491" s="48"/>
      <c r="D491" s="49"/>
      <c r="F491" s="49"/>
      <c r="G491" s="7"/>
    </row>
    <row r="492">
      <c r="C492" s="48"/>
      <c r="D492" s="49"/>
      <c r="F492" s="49"/>
      <c r="G492" s="7"/>
    </row>
    <row r="493">
      <c r="C493" s="48"/>
      <c r="D493" s="49"/>
      <c r="F493" s="49"/>
      <c r="G493" s="7"/>
    </row>
    <row r="494">
      <c r="C494" s="48"/>
      <c r="D494" s="49"/>
      <c r="F494" s="49"/>
      <c r="G494" s="7"/>
    </row>
    <row r="495">
      <c r="C495" s="48"/>
      <c r="D495" s="49"/>
      <c r="F495" s="49"/>
      <c r="G495" s="7"/>
    </row>
    <row r="496">
      <c r="C496" s="48"/>
      <c r="D496" s="49"/>
      <c r="F496" s="49"/>
      <c r="G496" s="7"/>
    </row>
    <row r="497">
      <c r="C497" s="48"/>
      <c r="D497" s="49"/>
      <c r="F497" s="49"/>
      <c r="G497" s="7"/>
    </row>
    <row r="498">
      <c r="C498" s="48"/>
      <c r="D498" s="49"/>
      <c r="F498" s="49"/>
      <c r="G498" s="7"/>
    </row>
    <row r="499">
      <c r="C499" s="48"/>
      <c r="D499" s="49"/>
      <c r="F499" s="49"/>
      <c r="G499" s="7"/>
    </row>
    <row r="500">
      <c r="C500" s="48"/>
      <c r="D500" s="49"/>
      <c r="F500" s="49"/>
      <c r="G500" s="7"/>
    </row>
    <row r="501">
      <c r="C501" s="48"/>
      <c r="D501" s="49"/>
      <c r="F501" s="49"/>
      <c r="G501" s="7"/>
    </row>
    <row r="502">
      <c r="C502" s="48"/>
      <c r="D502" s="49"/>
      <c r="F502" s="49"/>
      <c r="G502" s="7"/>
    </row>
    <row r="503">
      <c r="C503" s="48"/>
      <c r="D503" s="49"/>
      <c r="F503" s="49"/>
      <c r="G503" s="7"/>
    </row>
    <row r="504">
      <c r="C504" s="48"/>
      <c r="D504" s="49"/>
      <c r="F504" s="49"/>
      <c r="G504" s="7"/>
    </row>
    <row r="505">
      <c r="C505" s="48"/>
      <c r="D505" s="49"/>
      <c r="F505" s="49"/>
      <c r="G505" s="7"/>
    </row>
    <row r="506">
      <c r="C506" s="48"/>
      <c r="D506" s="49"/>
      <c r="F506" s="49"/>
      <c r="G506" s="7"/>
    </row>
    <row r="507">
      <c r="C507" s="48"/>
      <c r="D507" s="49"/>
      <c r="F507" s="49"/>
      <c r="G507" s="7"/>
    </row>
    <row r="508">
      <c r="C508" s="48"/>
      <c r="D508" s="49"/>
      <c r="F508" s="49"/>
      <c r="G508" s="7"/>
    </row>
    <row r="509">
      <c r="C509" s="48"/>
      <c r="D509" s="49"/>
      <c r="F509" s="49"/>
      <c r="G509" s="7"/>
    </row>
    <row r="510">
      <c r="C510" s="48"/>
      <c r="D510" s="49"/>
      <c r="F510" s="49"/>
      <c r="G510" s="7"/>
    </row>
    <row r="511">
      <c r="C511" s="48"/>
      <c r="D511" s="49"/>
      <c r="F511" s="49"/>
      <c r="G511" s="7"/>
    </row>
    <row r="512">
      <c r="C512" s="48"/>
      <c r="D512" s="49"/>
      <c r="F512" s="49"/>
      <c r="G512" s="7"/>
    </row>
    <row r="513">
      <c r="C513" s="48"/>
      <c r="D513" s="49"/>
      <c r="F513" s="49"/>
      <c r="G513" s="7"/>
    </row>
    <row r="514">
      <c r="C514" s="48"/>
      <c r="D514" s="49"/>
      <c r="F514" s="49"/>
      <c r="G514" s="7"/>
    </row>
    <row r="515">
      <c r="C515" s="48"/>
      <c r="D515" s="49"/>
      <c r="F515" s="49"/>
      <c r="G515" s="7"/>
    </row>
    <row r="516">
      <c r="C516" s="48"/>
      <c r="D516" s="49"/>
      <c r="F516" s="49"/>
      <c r="G516" s="7"/>
    </row>
    <row r="517">
      <c r="C517" s="48"/>
      <c r="D517" s="49"/>
      <c r="F517" s="49"/>
      <c r="G517" s="7"/>
    </row>
    <row r="518">
      <c r="C518" s="48"/>
      <c r="D518" s="49"/>
      <c r="F518" s="49"/>
      <c r="G518" s="7"/>
    </row>
    <row r="519">
      <c r="C519" s="48"/>
      <c r="D519" s="49"/>
      <c r="F519" s="49"/>
      <c r="G519" s="7"/>
    </row>
    <row r="520">
      <c r="C520" s="48"/>
      <c r="D520" s="49"/>
      <c r="F520" s="49"/>
      <c r="G520" s="7"/>
    </row>
    <row r="521">
      <c r="C521" s="48"/>
      <c r="D521" s="49"/>
      <c r="F521" s="49"/>
      <c r="G521" s="7"/>
    </row>
    <row r="522">
      <c r="C522" s="48"/>
      <c r="D522" s="49"/>
      <c r="F522" s="49"/>
      <c r="G522" s="7"/>
    </row>
    <row r="523">
      <c r="C523" s="48"/>
      <c r="D523" s="49"/>
      <c r="F523" s="49"/>
      <c r="G523" s="7"/>
    </row>
    <row r="524">
      <c r="C524" s="48"/>
      <c r="D524" s="49"/>
      <c r="F524" s="49"/>
      <c r="G524" s="7"/>
    </row>
    <row r="525">
      <c r="C525" s="48"/>
      <c r="D525" s="49"/>
      <c r="F525" s="49"/>
      <c r="G525" s="7"/>
    </row>
    <row r="526">
      <c r="C526" s="48"/>
      <c r="D526" s="49"/>
      <c r="F526" s="49"/>
      <c r="G526" s="7"/>
    </row>
    <row r="527">
      <c r="C527" s="48"/>
      <c r="D527" s="49"/>
      <c r="F527" s="49"/>
      <c r="G527" s="7"/>
    </row>
    <row r="528">
      <c r="C528" s="48"/>
      <c r="D528" s="49"/>
      <c r="F528" s="49"/>
      <c r="G528" s="7"/>
    </row>
    <row r="529">
      <c r="C529" s="48"/>
      <c r="D529" s="49"/>
      <c r="F529" s="49"/>
      <c r="G529" s="7"/>
    </row>
    <row r="530">
      <c r="C530" s="48"/>
      <c r="D530" s="49"/>
      <c r="F530" s="49"/>
      <c r="G530" s="7"/>
    </row>
    <row r="531">
      <c r="C531" s="48"/>
      <c r="D531" s="49"/>
      <c r="F531" s="49"/>
      <c r="G531" s="7"/>
    </row>
    <row r="532">
      <c r="C532" s="48"/>
      <c r="D532" s="49"/>
      <c r="F532" s="49"/>
      <c r="G532" s="7"/>
    </row>
    <row r="533">
      <c r="C533" s="48"/>
      <c r="D533" s="49"/>
      <c r="F533" s="49"/>
      <c r="G533" s="7"/>
    </row>
    <row r="534">
      <c r="C534" s="48"/>
      <c r="D534" s="49"/>
      <c r="F534" s="49"/>
      <c r="G534" s="7"/>
    </row>
    <row r="535">
      <c r="C535" s="48"/>
      <c r="D535" s="49"/>
      <c r="F535" s="49"/>
      <c r="G535" s="7"/>
    </row>
    <row r="536">
      <c r="C536" s="48"/>
      <c r="D536" s="49"/>
      <c r="F536" s="49"/>
      <c r="G536" s="7"/>
    </row>
    <row r="537">
      <c r="C537" s="48"/>
      <c r="D537" s="49"/>
      <c r="F537" s="49"/>
      <c r="G537" s="7"/>
    </row>
    <row r="538">
      <c r="C538" s="48"/>
      <c r="D538" s="49"/>
      <c r="F538" s="49"/>
      <c r="G538" s="7"/>
    </row>
    <row r="539">
      <c r="C539" s="48"/>
      <c r="D539" s="49"/>
      <c r="F539" s="49"/>
      <c r="G539" s="7"/>
    </row>
    <row r="540">
      <c r="C540" s="48"/>
      <c r="D540" s="49"/>
      <c r="F540" s="49"/>
      <c r="G540" s="7"/>
    </row>
    <row r="541">
      <c r="C541" s="48"/>
      <c r="D541" s="49"/>
      <c r="F541" s="49"/>
      <c r="G541" s="7"/>
    </row>
    <row r="542">
      <c r="C542" s="48"/>
      <c r="D542" s="49"/>
      <c r="F542" s="49"/>
      <c r="G542" s="7"/>
    </row>
    <row r="543">
      <c r="C543" s="48"/>
      <c r="D543" s="49"/>
      <c r="F543" s="49"/>
      <c r="G543" s="7"/>
    </row>
    <row r="544">
      <c r="C544" s="48"/>
      <c r="D544" s="49"/>
      <c r="F544" s="49"/>
      <c r="G544" s="7"/>
    </row>
    <row r="545">
      <c r="C545" s="48"/>
      <c r="D545" s="49"/>
      <c r="F545" s="49"/>
      <c r="G545" s="7"/>
    </row>
    <row r="546">
      <c r="C546" s="48"/>
      <c r="D546" s="49"/>
      <c r="F546" s="49"/>
      <c r="G546" s="7"/>
    </row>
    <row r="547">
      <c r="C547" s="48"/>
      <c r="D547" s="49"/>
      <c r="F547" s="49"/>
      <c r="G547" s="7"/>
    </row>
    <row r="548">
      <c r="C548" s="48"/>
      <c r="D548" s="49"/>
      <c r="F548" s="49"/>
      <c r="G548" s="7"/>
    </row>
    <row r="549">
      <c r="C549" s="48"/>
      <c r="D549" s="49"/>
      <c r="F549" s="49"/>
      <c r="G549" s="7"/>
    </row>
    <row r="550">
      <c r="C550" s="48"/>
      <c r="D550" s="49"/>
      <c r="F550" s="49"/>
      <c r="G550" s="7"/>
    </row>
    <row r="551">
      <c r="C551" s="48"/>
      <c r="D551" s="49"/>
      <c r="F551" s="49"/>
      <c r="G551" s="7"/>
    </row>
    <row r="552">
      <c r="C552" s="48"/>
      <c r="D552" s="49"/>
      <c r="F552" s="49"/>
      <c r="G552" s="7"/>
    </row>
    <row r="553">
      <c r="C553" s="48"/>
      <c r="D553" s="49"/>
      <c r="F553" s="49"/>
      <c r="G553" s="7"/>
    </row>
    <row r="554">
      <c r="C554" s="48"/>
      <c r="D554" s="49"/>
      <c r="F554" s="49"/>
      <c r="G554" s="7"/>
    </row>
    <row r="555">
      <c r="C555" s="48"/>
      <c r="D555" s="49"/>
      <c r="F555" s="49"/>
      <c r="G555" s="7"/>
    </row>
    <row r="556">
      <c r="C556" s="48"/>
      <c r="D556" s="49"/>
      <c r="F556" s="49"/>
      <c r="G556" s="7"/>
    </row>
    <row r="557">
      <c r="C557" s="48"/>
      <c r="D557" s="49"/>
      <c r="F557" s="49"/>
      <c r="G557" s="7"/>
    </row>
    <row r="558">
      <c r="C558" s="48"/>
      <c r="D558" s="49"/>
      <c r="F558" s="49"/>
      <c r="G558" s="7"/>
    </row>
    <row r="559">
      <c r="C559" s="48"/>
      <c r="D559" s="49"/>
      <c r="F559" s="49"/>
      <c r="G559" s="7"/>
    </row>
    <row r="560">
      <c r="C560" s="48"/>
      <c r="D560" s="49"/>
      <c r="F560" s="49"/>
      <c r="G560" s="7"/>
    </row>
    <row r="561">
      <c r="C561" s="48"/>
      <c r="D561" s="49"/>
      <c r="F561" s="49"/>
      <c r="G561" s="7"/>
    </row>
    <row r="562">
      <c r="C562" s="48"/>
      <c r="D562" s="49"/>
      <c r="F562" s="49"/>
      <c r="G562" s="7"/>
    </row>
    <row r="563">
      <c r="C563" s="48"/>
      <c r="D563" s="49"/>
      <c r="F563" s="49"/>
      <c r="G563" s="7"/>
    </row>
    <row r="564">
      <c r="C564" s="48"/>
      <c r="D564" s="49"/>
      <c r="F564" s="49"/>
      <c r="G564" s="7"/>
    </row>
    <row r="565">
      <c r="C565" s="48"/>
      <c r="D565" s="49"/>
      <c r="F565" s="49"/>
      <c r="G565" s="7"/>
    </row>
    <row r="566">
      <c r="C566" s="48"/>
      <c r="D566" s="49"/>
      <c r="F566" s="49"/>
      <c r="G566" s="7"/>
    </row>
    <row r="567">
      <c r="C567" s="48"/>
      <c r="D567" s="49"/>
      <c r="F567" s="49"/>
      <c r="G567" s="7"/>
    </row>
    <row r="568">
      <c r="C568" s="48"/>
      <c r="D568" s="49"/>
      <c r="F568" s="49"/>
      <c r="G568" s="7"/>
    </row>
    <row r="569">
      <c r="C569" s="48"/>
      <c r="D569" s="49"/>
      <c r="F569" s="49"/>
      <c r="G569" s="7"/>
    </row>
    <row r="570">
      <c r="C570" s="48"/>
      <c r="D570" s="49"/>
      <c r="F570" s="49"/>
      <c r="G570" s="7"/>
    </row>
    <row r="571">
      <c r="C571" s="48"/>
      <c r="D571" s="49"/>
      <c r="F571" s="49"/>
      <c r="G571" s="7"/>
    </row>
    <row r="572">
      <c r="C572" s="48"/>
      <c r="D572" s="49"/>
      <c r="F572" s="49"/>
      <c r="G572" s="7"/>
    </row>
    <row r="573">
      <c r="C573" s="48"/>
      <c r="D573" s="49"/>
      <c r="F573" s="49"/>
      <c r="G573" s="7"/>
    </row>
    <row r="574">
      <c r="C574" s="48"/>
      <c r="D574" s="49"/>
      <c r="F574" s="49"/>
      <c r="G574" s="7"/>
    </row>
    <row r="575">
      <c r="C575" s="48"/>
      <c r="D575" s="49"/>
      <c r="F575" s="49"/>
      <c r="G575" s="7"/>
    </row>
    <row r="576">
      <c r="C576" s="48"/>
      <c r="D576" s="49"/>
      <c r="F576" s="49"/>
      <c r="G576" s="7"/>
    </row>
    <row r="577">
      <c r="C577" s="48"/>
      <c r="D577" s="49"/>
      <c r="F577" s="49"/>
      <c r="G577" s="7"/>
    </row>
    <row r="578">
      <c r="C578" s="48"/>
      <c r="D578" s="49"/>
      <c r="F578" s="49"/>
      <c r="G578" s="7"/>
    </row>
    <row r="579">
      <c r="C579" s="48"/>
      <c r="D579" s="49"/>
      <c r="F579" s="49"/>
      <c r="G579" s="7"/>
    </row>
    <row r="580">
      <c r="C580" s="48"/>
      <c r="D580" s="49"/>
      <c r="F580" s="49"/>
      <c r="G580" s="7"/>
    </row>
    <row r="581">
      <c r="C581" s="48"/>
      <c r="D581" s="49"/>
      <c r="F581" s="49"/>
      <c r="G581" s="7"/>
    </row>
    <row r="582">
      <c r="C582" s="48"/>
      <c r="D582" s="49"/>
      <c r="F582" s="49"/>
      <c r="G582" s="7"/>
    </row>
    <row r="583">
      <c r="C583" s="48"/>
      <c r="D583" s="49"/>
      <c r="F583" s="49"/>
      <c r="G583" s="7"/>
    </row>
    <row r="584">
      <c r="C584" s="48"/>
      <c r="D584" s="49"/>
      <c r="F584" s="49"/>
      <c r="G584" s="7"/>
    </row>
    <row r="585">
      <c r="C585" s="48"/>
      <c r="D585" s="49"/>
      <c r="F585" s="49"/>
      <c r="G585" s="7"/>
    </row>
    <row r="586">
      <c r="C586" s="48"/>
      <c r="D586" s="49"/>
      <c r="F586" s="49"/>
      <c r="G586" s="7"/>
    </row>
    <row r="587">
      <c r="C587" s="48"/>
      <c r="D587" s="49"/>
      <c r="F587" s="49"/>
      <c r="G587" s="7"/>
    </row>
    <row r="588">
      <c r="C588" s="48"/>
      <c r="D588" s="49"/>
      <c r="F588" s="49"/>
      <c r="G588" s="7"/>
    </row>
    <row r="589">
      <c r="C589" s="48"/>
      <c r="D589" s="49"/>
      <c r="F589" s="49"/>
      <c r="G589" s="7"/>
    </row>
    <row r="590">
      <c r="C590" s="48"/>
      <c r="D590" s="49"/>
      <c r="F590" s="49"/>
      <c r="G590" s="7"/>
    </row>
    <row r="591">
      <c r="C591" s="48"/>
      <c r="D591" s="49"/>
      <c r="F591" s="49"/>
      <c r="G591" s="7"/>
    </row>
    <row r="592">
      <c r="C592" s="48"/>
      <c r="D592" s="49"/>
      <c r="F592" s="49"/>
      <c r="G592" s="7"/>
    </row>
    <row r="593">
      <c r="C593" s="48"/>
      <c r="D593" s="49"/>
      <c r="F593" s="49"/>
      <c r="G593" s="7"/>
    </row>
    <row r="594">
      <c r="C594" s="48"/>
      <c r="D594" s="49"/>
      <c r="F594" s="49"/>
      <c r="G594" s="7"/>
    </row>
    <row r="595">
      <c r="C595" s="48"/>
      <c r="D595" s="49"/>
      <c r="F595" s="49"/>
      <c r="G595" s="7"/>
    </row>
    <row r="596">
      <c r="C596" s="48"/>
      <c r="D596" s="49"/>
      <c r="F596" s="49"/>
      <c r="G596" s="7"/>
    </row>
    <row r="597">
      <c r="C597" s="48"/>
      <c r="D597" s="49"/>
      <c r="F597" s="49"/>
      <c r="G597" s="7"/>
    </row>
    <row r="598">
      <c r="C598" s="48"/>
      <c r="D598" s="49"/>
      <c r="F598" s="49"/>
      <c r="G598" s="7"/>
    </row>
    <row r="599">
      <c r="C599" s="48"/>
      <c r="D599" s="49"/>
      <c r="F599" s="49"/>
      <c r="G599" s="7"/>
    </row>
    <row r="600">
      <c r="C600" s="48"/>
      <c r="D600" s="49"/>
      <c r="F600" s="49"/>
      <c r="G600" s="7"/>
    </row>
    <row r="601">
      <c r="C601" s="48"/>
      <c r="D601" s="49"/>
      <c r="F601" s="49"/>
      <c r="G601" s="7"/>
    </row>
    <row r="602">
      <c r="C602" s="48"/>
      <c r="D602" s="49"/>
      <c r="F602" s="49"/>
      <c r="G602" s="7"/>
    </row>
    <row r="603">
      <c r="C603" s="48"/>
      <c r="D603" s="49"/>
      <c r="F603" s="49"/>
      <c r="G603" s="7"/>
    </row>
    <row r="604">
      <c r="C604" s="48"/>
      <c r="D604" s="49"/>
      <c r="F604" s="49"/>
      <c r="G604" s="7"/>
    </row>
    <row r="605">
      <c r="C605" s="48"/>
      <c r="D605" s="49"/>
      <c r="F605" s="49"/>
      <c r="G605" s="7"/>
    </row>
    <row r="606">
      <c r="C606" s="48"/>
      <c r="D606" s="49"/>
      <c r="F606" s="49"/>
      <c r="G606" s="7"/>
    </row>
    <row r="607">
      <c r="C607" s="48"/>
      <c r="D607" s="49"/>
      <c r="F607" s="49"/>
      <c r="G607" s="7"/>
    </row>
    <row r="608">
      <c r="C608" s="48"/>
      <c r="D608" s="49"/>
      <c r="F608" s="49"/>
      <c r="G608" s="7"/>
    </row>
    <row r="609">
      <c r="C609" s="48"/>
      <c r="D609" s="49"/>
      <c r="F609" s="49"/>
      <c r="G609" s="7"/>
    </row>
    <row r="610">
      <c r="C610" s="48"/>
      <c r="D610" s="49"/>
      <c r="F610" s="49"/>
      <c r="G610" s="7"/>
    </row>
    <row r="611">
      <c r="C611" s="48"/>
      <c r="D611" s="49"/>
      <c r="F611" s="49"/>
      <c r="G611" s="7"/>
    </row>
    <row r="612">
      <c r="C612" s="48"/>
      <c r="D612" s="49"/>
      <c r="F612" s="49"/>
      <c r="G612" s="7"/>
    </row>
    <row r="613">
      <c r="C613" s="48"/>
      <c r="D613" s="49"/>
      <c r="F613" s="49"/>
      <c r="G613" s="7"/>
    </row>
    <row r="614">
      <c r="C614" s="48"/>
      <c r="D614" s="49"/>
      <c r="F614" s="49"/>
      <c r="G614" s="7"/>
    </row>
    <row r="615">
      <c r="C615" s="48"/>
      <c r="D615" s="49"/>
      <c r="F615" s="49"/>
      <c r="G615" s="7"/>
    </row>
    <row r="616">
      <c r="C616" s="48"/>
      <c r="D616" s="49"/>
      <c r="F616" s="49"/>
      <c r="G616" s="7"/>
    </row>
    <row r="617">
      <c r="C617" s="48"/>
      <c r="D617" s="49"/>
      <c r="F617" s="49"/>
      <c r="G617" s="7"/>
    </row>
    <row r="618">
      <c r="C618" s="48"/>
      <c r="D618" s="49"/>
      <c r="F618" s="49"/>
      <c r="G618" s="7"/>
    </row>
    <row r="619">
      <c r="C619" s="48"/>
      <c r="D619" s="49"/>
      <c r="F619" s="49"/>
      <c r="G619" s="7"/>
    </row>
    <row r="620">
      <c r="C620" s="48"/>
      <c r="D620" s="49"/>
      <c r="F620" s="49"/>
      <c r="G620" s="7"/>
    </row>
    <row r="621">
      <c r="C621" s="48"/>
      <c r="D621" s="49"/>
      <c r="F621" s="49"/>
      <c r="G621" s="7"/>
    </row>
    <row r="622">
      <c r="C622" s="48"/>
      <c r="D622" s="49"/>
      <c r="F622" s="49"/>
      <c r="G622" s="7"/>
    </row>
    <row r="623">
      <c r="C623" s="48"/>
      <c r="D623" s="49"/>
      <c r="F623" s="49"/>
      <c r="G623" s="7"/>
    </row>
    <row r="624">
      <c r="C624" s="48"/>
      <c r="D624" s="49"/>
      <c r="F624" s="49"/>
      <c r="G624" s="7"/>
    </row>
    <row r="625">
      <c r="C625" s="48"/>
      <c r="D625" s="49"/>
      <c r="F625" s="49"/>
      <c r="G625" s="7"/>
    </row>
    <row r="626">
      <c r="C626" s="48"/>
      <c r="D626" s="49"/>
      <c r="F626" s="49"/>
      <c r="G626" s="7"/>
    </row>
    <row r="627">
      <c r="C627" s="48"/>
      <c r="D627" s="49"/>
      <c r="F627" s="49"/>
      <c r="G627" s="7"/>
    </row>
    <row r="628">
      <c r="C628" s="48"/>
      <c r="D628" s="49"/>
      <c r="F628" s="49"/>
      <c r="G628" s="7"/>
    </row>
    <row r="629">
      <c r="C629" s="48"/>
      <c r="D629" s="49"/>
      <c r="F629" s="49"/>
      <c r="G629" s="7"/>
    </row>
    <row r="630">
      <c r="C630" s="48"/>
      <c r="D630" s="49"/>
      <c r="F630" s="49"/>
      <c r="G630" s="7"/>
    </row>
    <row r="631">
      <c r="C631" s="48"/>
      <c r="D631" s="49"/>
      <c r="F631" s="49"/>
      <c r="G631" s="7"/>
    </row>
    <row r="632">
      <c r="C632" s="48"/>
      <c r="D632" s="49"/>
      <c r="F632" s="49"/>
      <c r="G632" s="7"/>
    </row>
    <row r="633">
      <c r="C633" s="48"/>
      <c r="D633" s="49"/>
      <c r="F633" s="49"/>
      <c r="G633" s="7"/>
    </row>
    <row r="634">
      <c r="C634" s="48"/>
      <c r="D634" s="49"/>
      <c r="F634" s="49"/>
      <c r="G634" s="7"/>
    </row>
    <row r="635">
      <c r="C635" s="48"/>
      <c r="D635" s="49"/>
      <c r="F635" s="49"/>
      <c r="G635" s="7"/>
    </row>
    <row r="636">
      <c r="C636" s="48"/>
      <c r="D636" s="49"/>
      <c r="F636" s="49"/>
      <c r="G636" s="7"/>
    </row>
    <row r="637">
      <c r="C637" s="48"/>
      <c r="D637" s="49"/>
      <c r="F637" s="49"/>
      <c r="G637" s="7"/>
    </row>
    <row r="638">
      <c r="C638" s="48"/>
      <c r="D638" s="49"/>
      <c r="F638" s="49"/>
      <c r="G638" s="7"/>
    </row>
    <row r="639">
      <c r="C639" s="48"/>
      <c r="D639" s="49"/>
      <c r="F639" s="49"/>
      <c r="G639" s="7"/>
    </row>
    <row r="640">
      <c r="C640" s="48"/>
      <c r="D640" s="49"/>
      <c r="F640" s="49"/>
      <c r="G640" s="7"/>
    </row>
    <row r="641">
      <c r="C641" s="48"/>
      <c r="D641" s="49"/>
      <c r="F641" s="49"/>
      <c r="G641" s="7"/>
    </row>
    <row r="642">
      <c r="C642" s="48"/>
      <c r="D642" s="49"/>
      <c r="F642" s="49"/>
      <c r="G642" s="7"/>
    </row>
    <row r="643">
      <c r="C643" s="48"/>
      <c r="D643" s="49"/>
      <c r="F643" s="49"/>
      <c r="G643" s="7"/>
    </row>
    <row r="644">
      <c r="C644" s="48"/>
      <c r="D644" s="49"/>
      <c r="F644" s="49"/>
      <c r="G644" s="7"/>
    </row>
    <row r="645">
      <c r="C645" s="48"/>
      <c r="D645" s="49"/>
      <c r="F645" s="49"/>
      <c r="G645" s="7"/>
    </row>
    <row r="646">
      <c r="C646" s="48"/>
      <c r="D646" s="49"/>
      <c r="F646" s="49"/>
      <c r="G646" s="7"/>
    </row>
    <row r="647">
      <c r="C647" s="48"/>
      <c r="D647" s="49"/>
      <c r="F647" s="49"/>
      <c r="G647" s="7"/>
    </row>
    <row r="648">
      <c r="C648" s="48"/>
      <c r="D648" s="49"/>
      <c r="F648" s="49"/>
      <c r="G648" s="7"/>
    </row>
    <row r="649">
      <c r="C649" s="48"/>
      <c r="D649" s="49"/>
      <c r="F649" s="49"/>
      <c r="G649" s="7"/>
    </row>
    <row r="650">
      <c r="C650" s="48"/>
      <c r="D650" s="49"/>
      <c r="F650" s="49"/>
      <c r="G650" s="7"/>
    </row>
    <row r="651">
      <c r="C651" s="48"/>
      <c r="D651" s="49"/>
      <c r="F651" s="49"/>
      <c r="G651" s="7"/>
    </row>
    <row r="652">
      <c r="C652" s="48"/>
      <c r="D652" s="49"/>
      <c r="F652" s="49"/>
      <c r="G652" s="7"/>
    </row>
    <row r="653">
      <c r="C653" s="48"/>
      <c r="D653" s="49"/>
      <c r="F653" s="49"/>
      <c r="G653" s="7"/>
    </row>
    <row r="654">
      <c r="C654" s="48"/>
      <c r="D654" s="49"/>
      <c r="F654" s="49"/>
      <c r="G654" s="7"/>
    </row>
    <row r="655">
      <c r="C655" s="48"/>
      <c r="D655" s="49"/>
      <c r="F655" s="49"/>
      <c r="G655" s="7"/>
    </row>
    <row r="656">
      <c r="C656" s="48"/>
      <c r="D656" s="49"/>
      <c r="F656" s="49"/>
      <c r="G656" s="7"/>
    </row>
    <row r="657">
      <c r="C657" s="48"/>
      <c r="D657" s="49"/>
      <c r="F657" s="49"/>
      <c r="G657" s="7"/>
    </row>
    <row r="658">
      <c r="C658" s="48"/>
      <c r="D658" s="49"/>
      <c r="F658" s="49"/>
      <c r="G658" s="7"/>
    </row>
    <row r="659">
      <c r="C659" s="48"/>
      <c r="D659" s="49"/>
      <c r="F659" s="49"/>
      <c r="G659" s="7"/>
    </row>
    <row r="660">
      <c r="C660" s="48"/>
      <c r="D660" s="49"/>
      <c r="F660" s="49"/>
      <c r="G660" s="7"/>
    </row>
    <row r="661">
      <c r="C661" s="48"/>
      <c r="D661" s="49"/>
      <c r="F661" s="49"/>
      <c r="G661" s="7"/>
    </row>
    <row r="662">
      <c r="C662" s="48"/>
      <c r="D662" s="49"/>
      <c r="F662" s="49"/>
      <c r="G662" s="7"/>
    </row>
    <row r="663">
      <c r="C663" s="48"/>
      <c r="D663" s="49"/>
      <c r="F663" s="49"/>
      <c r="G663" s="7"/>
    </row>
    <row r="664">
      <c r="C664" s="48"/>
      <c r="D664" s="49"/>
      <c r="F664" s="49"/>
      <c r="G664" s="7"/>
    </row>
    <row r="665">
      <c r="C665" s="48"/>
      <c r="D665" s="49"/>
      <c r="F665" s="49"/>
      <c r="G665" s="7"/>
    </row>
    <row r="666">
      <c r="C666" s="48"/>
      <c r="D666" s="49"/>
      <c r="F666" s="49"/>
      <c r="G666" s="7"/>
    </row>
    <row r="667">
      <c r="C667" s="48"/>
      <c r="D667" s="49"/>
      <c r="F667" s="49"/>
      <c r="G667" s="7"/>
    </row>
    <row r="668">
      <c r="C668" s="48"/>
      <c r="D668" s="49"/>
      <c r="F668" s="49"/>
      <c r="G668" s="7"/>
    </row>
    <row r="669">
      <c r="C669" s="48"/>
      <c r="D669" s="49"/>
      <c r="F669" s="49"/>
      <c r="G669" s="7"/>
    </row>
    <row r="670">
      <c r="C670" s="48"/>
      <c r="D670" s="49"/>
      <c r="F670" s="49"/>
      <c r="G670" s="7"/>
    </row>
    <row r="671">
      <c r="C671" s="48"/>
      <c r="D671" s="49"/>
      <c r="F671" s="49"/>
      <c r="G671" s="7"/>
    </row>
    <row r="672">
      <c r="C672" s="48"/>
      <c r="D672" s="49"/>
      <c r="F672" s="49"/>
      <c r="G672" s="7"/>
    </row>
    <row r="673">
      <c r="C673" s="48"/>
      <c r="D673" s="49"/>
      <c r="F673" s="49"/>
      <c r="G673" s="7"/>
    </row>
    <row r="674">
      <c r="C674" s="48"/>
      <c r="D674" s="49"/>
      <c r="F674" s="49"/>
      <c r="G674" s="7"/>
    </row>
    <row r="675">
      <c r="C675" s="48"/>
      <c r="D675" s="49"/>
      <c r="F675" s="49"/>
      <c r="G675" s="7"/>
    </row>
    <row r="676">
      <c r="C676" s="48"/>
      <c r="D676" s="49"/>
      <c r="F676" s="49"/>
      <c r="G676" s="7"/>
    </row>
    <row r="677">
      <c r="C677" s="48"/>
      <c r="D677" s="49"/>
      <c r="F677" s="49"/>
      <c r="G677" s="7"/>
    </row>
    <row r="678">
      <c r="C678" s="48"/>
      <c r="D678" s="49"/>
      <c r="F678" s="49"/>
      <c r="G678" s="7"/>
    </row>
    <row r="679">
      <c r="C679" s="48"/>
      <c r="D679" s="49"/>
      <c r="F679" s="49"/>
      <c r="G679" s="7"/>
    </row>
    <row r="680">
      <c r="C680" s="48"/>
      <c r="D680" s="49"/>
      <c r="F680" s="49"/>
      <c r="G680" s="7"/>
    </row>
    <row r="681">
      <c r="C681" s="48"/>
      <c r="D681" s="49"/>
      <c r="F681" s="49"/>
      <c r="G681" s="7"/>
    </row>
    <row r="682">
      <c r="C682" s="48"/>
      <c r="D682" s="49"/>
      <c r="F682" s="49"/>
      <c r="G682" s="7"/>
    </row>
    <row r="683">
      <c r="C683" s="48"/>
      <c r="D683" s="49"/>
      <c r="F683" s="49"/>
      <c r="G683" s="7"/>
    </row>
    <row r="684">
      <c r="C684" s="48"/>
      <c r="D684" s="49"/>
      <c r="F684" s="49"/>
      <c r="G684" s="7"/>
    </row>
    <row r="685">
      <c r="C685" s="48"/>
      <c r="D685" s="49"/>
      <c r="F685" s="49"/>
      <c r="G685" s="7"/>
    </row>
    <row r="686">
      <c r="C686" s="48"/>
      <c r="D686" s="49"/>
      <c r="F686" s="49"/>
      <c r="G686" s="7"/>
    </row>
    <row r="687">
      <c r="C687" s="48"/>
      <c r="D687" s="49"/>
      <c r="F687" s="49"/>
      <c r="G687" s="7"/>
    </row>
    <row r="688">
      <c r="C688" s="48"/>
      <c r="D688" s="49"/>
      <c r="F688" s="49"/>
      <c r="G688" s="7"/>
    </row>
    <row r="689">
      <c r="C689" s="48"/>
      <c r="D689" s="49"/>
      <c r="F689" s="49"/>
      <c r="G689" s="7"/>
    </row>
    <row r="690">
      <c r="C690" s="48"/>
      <c r="D690" s="49"/>
      <c r="F690" s="49"/>
      <c r="G690" s="7"/>
    </row>
    <row r="691">
      <c r="C691" s="48"/>
      <c r="D691" s="49"/>
      <c r="F691" s="49"/>
      <c r="G691" s="7"/>
    </row>
    <row r="692">
      <c r="C692" s="48"/>
      <c r="D692" s="49"/>
      <c r="F692" s="49"/>
      <c r="G692" s="7"/>
    </row>
    <row r="693">
      <c r="C693" s="48"/>
      <c r="D693" s="49"/>
      <c r="F693" s="49"/>
      <c r="G693" s="7"/>
    </row>
    <row r="694">
      <c r="C694" s="48"/>
      <c r="D694" s="49"/>
      <c r="F694" s="49"/>
      <c r="G694" s="7"/>
    </row>
    <row r="695">
      <c r="C695" s="48"/>
      <c r="D695" s="49"/>
      <c r="F695" s="49"/>
      <c r="G695" s="7"/>
    </row>
    <row r="696">
      <c r="C696" s="48"/>
      <c r="D696" s="49"/>
      <c r="F696" s="49"/>
      <c r="G696" s="7"/>
    </row>
    <row r="697">
      <c r="C697" s="48"/>
      <c r="D697" s="49"/>
      <c r="F697" s="49"/>
      <c r="G697" s="7"/>
    </row>
    <row r="698">
      <c r="C698" s="48"/>
      <c r="D698" s="49"/>
      <c r="F698" s="49"/>
      <c r="G698" s="7"/>
    </row>
    <row r="699">
      <c r="C699" s="48"/>
      <c r="D699" s="49"/>
      <c r="F699" s="49"/>
      <c r="G699" s="7"/>
    </row>
    <row r="700">
      <c r="C700" s="48"/>
      <c r="D700" s="49"/>
      <c r="F700" s="49"/>
      <c r="G700" s="7"/>
    </row>
    <row r="701">
      <c r="C701" s="48"/>
      <c r="D701" s="49"/>
      <c r="F701" s="49"/>
      <c r="G701" s="7"/>
    </row>
    <row r="702">
      <c r="C702" s="48"/>
      <c r="D702" s="49"/>
      <c r="F702" s="49"/>
      <c r="G702" s="7"/>
    </row>
    <row r="703">
      <c r="C703" s="48"/>
      <c r="D703" s="49"/>
      <c r="F703" s="49"/>
      <c r="G703" s="7"/>
    </row>
    <row r="704">
      <c r="C704" s="48"/>
      <c r="D704" s="49"/>
      <c r="F704" s="49"/>
      <c r="G704" s="7"/>
    </row>
    <row r="705">
      <c r="C705" s="48"/>
      <c r="D705" s="49"/>
      <c r="F705" s="49"/>
      <c r="G705" s="7"/>
    </row>
    <row r="706">
      <c r="C706" s="48"/>
      <c r="D706" s="49"/>
      <c r="F706" s="49"/>
      <c r="G706" s="7"/>
    </row>
    <row r="707">
      <c r="C707" s="48"/>
      <c r="D707" s="49"/>
      <c r="F707" s="49"/>
      <c r="G707" s="7"/>
    </row>
    <row r="708">
      <c r="C708" s="48"/>
      <c r="D708" s="49"/>
      <c r="F708" s="49"/>
      <c r="G708" s="7"/>
    </row>
    <row r="709">
      <c r="C709" s="48"/>
      <c r="D709" s="49"/>
      <c r="F709" s="49"/>
      <c r="G709" s="7"/>
    </row>
    <row r="710">
      <c r="C710" s="48"/>
      <c r="D710" s="49"/>
      <c r="F710" s="49"/>
      <c r="G710" s="7"/>
    </row>
    <row r="711">
      <c r="C711" s="48"/>
      <c r="D711" s="49"/>
      <c r="F711" s="49"/>
      <c r="G711" s="7"/>
    </row>
    <row r="712">
      <c r="C712" s="48"/>
      <c r="D712" s="49"/>
      <c r="F712" s="49"/>
      <c r="G712" s="7"/>
    </row>
    <row r="713">
      <c r="C713" s="48"/>
      <c r="D713" s="49"/>
      <c r="F713" s="49"/>
      <c r="G713" s="7"/>
    </row>
    <row r="714">
      <c r="C714" s="48"/>
      <c r="D714" s="49"/>
      <c r="F714" s="49"/>
      <c r="G714" s="7"/>
    </row>
    <row r="715">
      <c r="C715" s="48"/>
      <c r="D715" s="49"/>
      <c r="F715" s="49"/>
      <c r="G715" s="7"/>
    </row>
    <row r="716">
      <c r="C716" s="48"/>
      <c r="D716" s="49"/>
      <c r="F716" s="49"/>
      <c r="G716" s="7"/>
    </row>
    <row r="717">
      <c r="C717" s="48"/>
      <c r="D717" s="49"/>
      <c r="F717" s="49"/>
      <c r="G717" s="7"/>
    </row>
    <row r="718">
      <c r="C718" s="48"/>
      <c r="D718" s="49"/>
      <c r="F718" s="49"/>
      <c r="G718" s="7"/>
    </row>
    <row r="719">
      <c r="C719" s="48"/>
      <c r="D719" s="49"/>
      <c r="F719" s="49"/>
      <c r="G719" s="7"/>
    </row>
    <row r="720">
      <c r="C720" s="48"/>
      <c r="D720" s="49"/>
      <c r="F720" s="49"/>
      <c r="G720" s="7"/>
    </row>
    <row r="721">
      <c r="C721" s="48"/>
      <c r="D721" s="49"/>
      <c r="F721" s="49"/>
      <c r="G721" s="7"/>
    </row>
    <row r="722">
      <c r="C722" s="48"/>
      <c r="D722" s="49"/>
      <c r="F722" s="49"/>
      <c r="G722" s="7"/>
    </row>
    <row r="723">
      <c r="C723" s="48"/>
      <c r="D723" s="49"/>
      <c r="F723" s="49"/>
      <c r="G723" s="7"/>
    </row>
    <row r="724">
      <c r="C724" s="48"/>
      <c r="D724" s="49"/>
      <c r="F724" s="49"/>
      <c r="G724" s="7"/>
    </row>
    <row r="725">
      <c r="C725" s="48"/>
      <c r="D725" s="49"/>
      <c r="F725" s="49"/>
      <c r="G725" s="7"/>
    </row>
    <row r="726">
      <c r="C726" s="48"/>
      <c r="D726" s="49"/>
      <c r="F726" s="49"/>
      <c r="G726" s="7"/>
    </row>
    <row r="727">
      <c r="C727" s="48"/>
      <c r="D727" s="49"/>
      <c r="F727" s="49"/>
      <c r="G727" s="7"/>
    </row>
    <row r="728">
      <c r="C728" s="48"/>
      <c r="D728" s="49"/>
      <c r="F728" s="49"/>
      <c r="G728" s="7"/>
    </row>
    <row r="729">
      <c r="C729" s="48"/>
      <c r="D729" s="49"/>
      <c r="F729" s="49"/>
      <c r="G729" s="7"/>
    </row>
    <row r="730">
      <c r="C730" s="48"/>
      <c r="D730" s="49"/>
      <c r="F730" s="49"/>
      <c r="G730" s="7"/>
    </row>
    <row r="731">
      <c r="C731" s="48"/>
      <c r="D731" s="49"/>
      <c r="F731" s="49"/>
      <c r="G731" s="7"/>
    </row>
    <row r="732">
      <c r="C732" s="48"/>
      <c r="D732" s="49"/>
      <c r="F732" s="49"/>
      <c r="G732" s="7"/>
    </row>
    <row r="733">
      <c r="C733" s="48"/>
      <c r="D733" s="49"/>
      <c r="F733" s="49"/>
      <c r="G733" s="7"/>
    </row>
    <row r="734">
      <c r="C734" s="48"/>
      <c r="D734" s="49"/>
      <c r="F734" s="49"/>
      <c r="G734" s="7"/>
    </row>
    <row r="735">
      <c r="C735" s="48"/>
      <c r="D735" s="49"/>
      <c r="F735" s="49"/>
      <c r="G735" s="7"/>
    </row>
    <row r="736">
      <c r="C736" s="48"/>
      <c r="D736" s="49"/>
      <c r="F736" s="49"/>
      <c r="G736" s="7"/>
    </row>
    <row r="737">
      <c r="C737" s="48"/>
      <c r="D737" s="49"/>
      <c r="F737" s="49"/>
      <c r="G737" s="7"/>
    </row>
    <row r="738">
      <c r="C738" s="48"/>
      <c r="D738" s="49"/>
      <c r="F738" s="49"/>
      <c r="G738" s="7"/>
    </row>
    <row r="739">
      <c r="C739" s="48"/>
      <c r="D739" s="49"/>
      <c r="F739" s="49"/>
      <c r="G739" s="7"/>
    </row>
    <row r="740">
      <c r="C740" s="48"/>
      <c r="D740" s="49"/>
      <c r="F740" s="49"/>
      <c r="G740" s="7"/>
    </row>
    <row r="741">
      <c r="C741" s="48"/>
      <c r="D741" s="49"/>
      <c r="F741" s="49"/>
      <c r="G741" s="7"/>
    </row>
    <row r="742">
      <c r="C742" s="48"/>
      <c r="D742" s="49"/>
      <c r="F742" s="49"/>
      <c r="G742" s="7"/>
    </row>
    <row r="743">
      <c r="C743" s="48"/>
      <c r="D743" s="49"/>
      <c r="F743" s="49"/>
      <c r="G743" s="7"/>
    </row>
    <row r="744">
      <c r="C744" s="48"/>
      <c r="D744" s="49"/>
      <c r="F744" s="49"/>
      <c r="G744" s="7"/>
    </row>
    <row r="745">
      <c r="C745" s="48"/>
      <c r="D745" s="49"/>
      <c r="F745" s="49"/>
      <c r="G745" s="7"/>
    </row>
    <row r="746">
      <c r="C746" s="48"/>
      <c r="D746" s="49"/>
      <c r="F746" s="49"/>
      <c r="G746" s="7"/>
    </row>
    <row r="747">
      <c r="C747" s="48"/>
      <c r="D747" s="49"/>
      <c r="F747" s="49"/>
      <c r="G747" s="7"/>
    </row>
    <row r="748">
      <c r="C748" s="48"/>
      <c r="D748" s="49"/>
      <c r="F748" s="49"/>
      <c r="G748" s="7"/>
    </row>
    <row r="749">
      <c r="C749" s="48"/>
      <c r="D749" s="49"/>
      <c r="F749" s="49"/>
      <c r="G749" s="7"/>
    </row>
    <row r="750">
      <c r="C750" s="48"/>
      <c r="D750" s="49"/>
      <c r="F750" s="49"/>
      <c r="G750" s="7"/>
    </row>
    <row r="751">
      <c r="C751" s="48"/>
      <c r="D751" s="49"/>
      <c r="F751" s="49"/>
      <c r="G751" s="7"/>
    </row>
    <row r="752">
      <c r="C752" s="48"/>
      <c r="D752" s="49"/>
      <c r="F752" s="49"/>
      <c r="G752" s="7"/>
    </row>
    <row r="753">
      <c r="C753" s="48"/>
      <c r="D753" s="49"/>
      <c r="F753" s="49"/>
      <c r="G753" s="7"/>
    </row>
    <row r="754">
      <c r="C754" s="48"/>
      <c r="D754" s="49"/>
      <c r="F754" s="49"/>
      <c r="G754" s="7"/>
    </row>
    <row r="755">
      <c r="C755" s="48"/>
      <c r="D755" s="49"/>
      <c r="F755" s="49"/>
      <c r="G755" s="7"/>
    </row>
    <row r="756">
      <c r="C756" s="48"/>
      <c r="D756" s="49"/>
      <c r="F756" s="49"/>
      <c r="G756" s="7"/>
    </row>
    <row r="757">
      <c r="C757" s="48"/>
      <c r="D757" s="49"/>
      <c r="F757" s="49"/>
      <c r="G757" s="7"/>
    </row>
    <row r="758">
      <c r="C758" s="48"/>
      <c r="D758" s="49"/>
      <c r="F758" s="49"/>
      <c r="G758" s="7"/>
    </row>
    <row r="759">
      <c r="C759" s="48"/>
      <c r="D759" s="49"/>
      <c r="F759" s="49"/>
      <c r="G759" s="7"/>
    </row>
    <row r="760">
      <c r="C760" s="48"/>
      <c r="D760" s="49"/>
      <c r="F760" s="49"/>
      <c r="G760" s="7"/>
    </row>
    <row r="761">
      <c r="C761" s="48"/>
      <c r="D761" s="49"/>
      <c r="F761" s="49"/>
      <c r="G761" s="7"/>
    </row>
    <row r="762">
      <c r="C762" s="48"/>
      <c r="D762" s="49"/>
      <c r="F762" s="49"/>
      <c r="G762" s="7"/>
    </row>
    <row r="763">
      <c r="C763" s="48"/>
      <c r="D763" s="49"/>
      <c r="F763" s="49"/>
      <c r="G763" s="7"/>
    </row>
    <row r="764">
      <c r="C764" s="48"/>
      <c r="D764" s="49"/>
      <c r="F764" s="49"/>
      <c r="G764" s="7"/>
    </row>
    <row r="765">
      <c r="C765" s="48"/>
      <c r="D765" s="49"/>
      <c r="F765" s="49"/>
      <c r="G765" s="7"/>
    </row>
    <row r="766">
      <c r="C766" s="48"/>
      <c r="D766" s="49"/>
      <c r="F766" s="49"/>
      <c r="G766" s="7"/>
    </row>
    <row r="767">
      <c r="C767" s="48"/>
      <c r="D767" s="49"/>
      <c r="F767" s="49"/>
      <c r="G767" s="7"/>
    </row>
    <row r="768">
      <c r="C768" s="48"/>
      <c r="D768" s="49"/>
      <c r="F768" s="49"/>
      <c r="G768" s="7"/>
    </row>
    <row r="769">
      <c r="C769" s="48"/>
      <c r="D769" s="49"/>
      <c r="F769" s="49"/>
      <c r="G769" s="7"/>
    </row>
    <row r="770">
      <c r="C770" s="48"/>
      <c r="D770" s="49"/>
      <c r="F770" s="49"/>
      <c r="G770" s="7"/>
    </row>
    <row r="771">
      <c r="C771" s="48"/>
      <c r="D771" s="49"/>
      <c r="F771" s="49"/>
      <c r="G771" s="7"/>
    </row>
    <row r="772">
      <c r="C772" s="48"/>
      <c r="D772" s="49"/>
      <c r="F772" s="49"/>
      <c r="G772" s="7"/>
    </row>
    <row r="773">
      <c r="C773" s="48"/>
      <c r="D773" s="49"/>
      <c r="F773" s="49"/>
      <c r="G773" s="7"/>
    </row>
    <row r="774">
      <c r="C774" s="48"/>
      <c r="D774" s="49"/>
      <c r="F774" s="49"/>
      <c r="G774" s="7"/>
    </row>
    <row r="775">
      <c r="C775" s="48"/>
      <c r="D775" s="49"/>
      <c r="F775" s="49"/>
      <c r="G775" s="7"/>
    </row>
    <row r="776">
      <c r="C776" s="48"/>
      <c r="D776" s="49"/>
      <c r="F776" s="49"/>
      <c r="G776" s="7"/>
    </row>
    <row r="777">
      <c r="C777" s="48"/>
      <c r="D777" s="49"/>
      <c r="F777" s="49"/>
      <c r="G777" s="7"/>
    </row>
    <row r="778">
      <c r="C778" s="48"/>
      <c r="D778" s="49"/>
      <c r="F778" s="49"/>
      <c r="G778" s="7"/>
    </row>
    <row r="779">
      <c r="C779" s="48"/>
      <c r="D779" s="49"/>
      <c r="F779" s="49"/>
      <c r="G779" s="7"/>
    </row>
    <row r="780">
      <c r="C780" s="48"/>
      <c r="D780" s="49"/>
      <c r="F780" s="49"/>
      <c r="G780" s="7"/>
    </row>
    <row r="781">
      <c r="C781" s="48"/>
      <c r="D781" s="49"/>
      <c r="F781" s="49"/>
      <c r="G781" s="7"/>
    </row>
    <row r="782">
      <c r="C782" s="48"/>
      <c r="D782" s="49"/>
      <c r="F782" s="49"/>
      <c r="G782" s="7"/>
    </row>
    <row r="783">
      <c r="C783" s="48"/>
      <c r="D783" s="49"/>
      <c r="F783" s="49"/>
      <c r="G783" s="7"/>
    </row>
    <row r="784">
      <c r="C784" s="48"/>
      <c r="D784" s="49"/>
      <c r="F784" s="49"/>
      <c r="G784" s="7"/>
    </row>
    <row r="785">
      <c r="C785" s="48"/>
      <c r="D785" s="49"/>
      <c r="F785" s="49"/>
      <c r="G785" s="7"/>
    </row>
    <row r="786">
      <c r="C786" s="48"/>
      <c r="D786" s="49"/>
      <c r="F786" s="49"/>
      <c r="G786" s="7"/>
    </row>
    <row r="787">
      <c r="C787" s="48"/>
      <c r="D787" s="49"/>
      <c r="F787" s="49"/>
      <c r="G787" s="7"/>
    </row>
    <row r="788">
      <c r="C788" s="48"/>
      <c r="D788" s="49"/>
      <c r="F788" s="49"/>
      <c r="G788" s="7"/>
    </row>
    <row r="789">
      <c r="C789" s="48"/>
      <c r="D789" s="49"/>
      <c r="F789" s="49"/>
      <c r="G789" s="7"/>
    </row>
    <row r="790">
      <c r="C790" s="48"/>
      <c r="D790" s="49"/>
      <c r="F790" s="49"/>
      <c r="G790" s="7"/>
    </row>
    <row r="791">
      <c r="C791" s="48"/>
      <c r="D791" s="49"/>
      <c r="F791" s="49"/>
      <c r="G791" s="7"/>
    </row>
    <row r="792">
      <c r="C792" s="48"/>
      <c r="D792" s="49"/>
      <c r="F792" s="49"/>
      <c r="G792" s="7"/>
    </row>
    <row r="793">
      <c r="C793" s="48"/>
      <c r="D793" s="49"/>
      <c r="F793" s="49"/>
      <c r="G793" s="7"/>
    </row>
    <row r="794">
      <c r="C794" s="48"/>
      <c r="D794" s="49"/>
      <c r="F794" s="49"/>
      <c r="G794" s="7"/>
    </row>
    <row r="795">
      <c r="C795" s="48"/>
      <c r="D795" s="49"/>
      <c r="F795" s="49"/>
      <c r="G795" s="7"/>
    </row>
    <row r="796">
      <c r="C796" s="48"/>
      <c r="D796" s="49"/>
      <c r="F796" s="49"/>
      <c r="G796" s="7"/>
    </row>
    <row r="797">
      <c r="C797" s="48"/>
      <c r="D797" s="49"/>
      <c r="F797" s="49"/>
      <c r="G797" s="7"/>
    </row>
    <row r="798">
      <c r="C798" s="48"/>
      <c r="D798" s="49"/>
      <c r="F798" s="49"/>
      <c r="G798" s="7"/>
    </row>
    <row r="799">
      <c r="C799" s="48"/>
      <c r="D799" s="49"/>
      <c r="F799" s="49"/>
      <c r="G799" s="7"/>
    </row>
    <row r="800">
      <c r="C800" s="48"/>
      <c r="D800" s="49"/>
      <c r="F800" s="49"/>
      <c r="G800" s="7"/>
    </row>
    <row r="801">
      <c r="C801" s="48"/>
      <c r="D801" s="49"/>
      <c r="F801" s="49"/>
      <c r="G801" s="7"/>
    </row>
    <row r="802">
      <c r="C802" s="48"/>
      <c r="D802" s="49"/>
      <c r="F802" s="49"/>
      <c r="G802" s="7"/>
    </row>
    <row r="803">
      <c r="C803" s="48"/>
      <c r="D803" s="49"/>
      <c r="F803" s="49"/>
      <c r="G803" s="7"/>
    </row>
    <row r="804">
      <c r="C804" s="48"/>
      <c r="D804" s="49"/>
      <c r="F804" s="49"/>
      <c r="G804" s="7"/>
    </row>
    <row r="805">
      <c r="C805" s="48"/>
      <c r="D805" s="49"/>
      <c r="F805" s="49"/>
      <c r="G805" s="7"/>
    </row>
    <row r="806">
      <c r="C806" s="48"/>
      <c r="D806" s="49"/>
      <c r="F806" s="49"/>
      <c r="G806" s="7"/>
    </row>
    <row r="807">
      <c r="C807" s="48"/>
      <c r="D807" s="49"/>
      <c r="F807" s="49"/>
      <c r="G807" s="7"/>
    </row>
    <row r="808">
      <c r="C808" s="48"/>
      <c r="D808" s="49"/>
      <c r="F808" s="49"/>
      <c r="G808" s="7"/>
    </row>
    <row r="809">
      <c r="C809" s="48"/>
      <c r="D809" s="49"/>
      <c r="F809" s="49"/>
      <c r="G809" s="7"/>
    </row>
    <row r="810">
      <c r="C810" s="48"/>
      <c r="D810" s="49"/>
      <c r="F810" s="49"/>
      <c r="G810" s="7"/>
    </row>
    <row r="811">
      <c r="C811" s="48"/>
      <c r="D811" s="49"/>
      <c r="F811" s="49"/>
      <c r="G811" s="7"/>
    </row>
    <row r="812">
      <c r="C812" s="48"/>
      <c r="D812" s="49"/>
      <c r="F812" s="49"/>
      <c r="G812" s="7"/>
    </row>
    <row r="813">
      <c r="C813" s="48"/>
      <c r="D813" s="49"/>
      <c r="F813" s="49"/>
      <c r="G813" s="7"/>
    </row>
    <row r="814">
      <c r="C814" s="48"/>
      <c r="D814" s="49"/>
      <c r="F814" s="49"/>
      <c r="G814" s="7"/>
    </row>
    <row r="815">
      <c r="C815" s="48"/>
      <c r="D815" s="49"/>
      <c r="F815" s="49"/>
      <c r="G815" s="7"/>
    </row>
    <row r="816">
      <c r="C816" s="48"/>
      <c r="D816" s="49"/>
      <c r="F816" s="49"/>
      <c r="G816" s="7"/>
    </row>
    <row r="817">
      <c r="C817" s="48"/>
      <c r="D817" s="49"/>
      <c r="F817" s="49"/>
      <c r="G817" s="7"/>
    </row>
    <row r="818">
      <c r="C818" s="48"/>
      <c r="D818" s="49"/>
      <c r="F818" s="49"/>
      <c r="G818" s="7"/>
    </row>
    <row r="819">
      <c r="C819" s="48"/>
      <c r="D819" s="49"/>
      <c r="F819" s="49"/>
      <c r="G819" s="7"/>
    </row>
    <row r="820">
      <c r="C820" s="48"/>
      <c r="D820" s="49"/>
      <c r="F820" s="49"/>
      <c r="G820" s="7"/>
    </row>
    <row r="821">
      <c r="C821" s="48"/>
      <c r="D821" s="49"/>
      <c r="F821" s="49"/>
      <c r="G821" s="7"/>
    </row>
    <row r="822">
      <c r="C822" s="48"/>
      <c r="D822" s="49"/>
      <c r="F822" s="49"/>
      <c r="G822" s="7"/>
    </row>
    <row r="823">
      <c r="C823" s="48"/>
      <c r="D823" s="49"/>
      <c r="F823" s="49"/>
      <c r="G823" s="7"/>
    </row>
    <row r="824">
      <c r="C824" s="48"/>
      <c r="D824" s="49"/>
      <c r="F824" s="49"/>
      <c r="G824" s="7"/>
    </row>
    <row r="825">
      <c r="C825" s="48"/>
      <c r="D825" s="49"/>
      <c r="F825" s="49"/>
      <c r="G825" s="7"/>
    </row>
    <row r="826">
      <c r="C826" s="48"/>
      <c r="D826" s="49"/>
      <c r="F826" s="49"/>
      <c r="G826" s="7"/>
    </row>
    <row r="827">
      <c r="C827" s="48"/>
      <c r="D827" s="49"/>
      <c r="F827" s="49"/>
      <c r="G827" s="7"/>
    </row>
    <row r="828">
      <c r="C828" s="48"/>
      <c r="D828" s="49"/>
      <c r="F828" s="49"/>
      <c r="G828" s="7"/>
    </row>
    <row r="829">
      <c r="C829" s="48"/>
      <c r="D829" s="49"/>
      <c r="F829" s="49"/>
      <c r="G829" s="7"/>
    </row>
    <row r="830">
      <c r="C830" s="48"/>
      <c r="D830" s="49"/>
      <c r="F830" s="49"/>
      <c r="G830" s="7"/>
    </row>
    <row r="831">
      <c r="C831" s="48"/>
      <c r="D831" s="49"/>
      <c r="F831" s="49"/>
      <c r="G831" s="7"/>
    </row>
    <row r="832">
      <c r="C832" s="48"/>
      <c r="D832" s="49"/>
      <c r="F832" s="49"/>
      <c r="G832" s="7"/>
    </row>
    <row r="833">
      <c r="C833" s="48"/>
      <c r="D833" s="49"/>
      <c r="F833" s="49"/>
      <c r="G833" s="7"/>
    </row>
    <row r="834">
      <c r="C834" s="48"/>
      <c r="D834" s="49"/>
      <c r="F834" s="49"/>
      <c r="G834" s="7"/>
    </row>
    <row r="835">
      <c r="C835" s="48"/>
      <c r="D835" s="49"/>
      <c r="F835" s="49"/>
      <c r="G835" s="7"/>
    </row>
    <row r="836">
      <c r="C836" s="48"/>
      <c r="D836" s="49"/>
      <c r="F836" s="49"/>
      <c r="G836" s="7"/>
    </row>
    <row r="837">
      <c r="C837" s="48"/>
      <c r="D837" s="49"/>
      <c r="F837" s="49"/>
      <c r="G837" s="7"/>
    </row>
    <row r="838">
      <c r="C838" s="48"/>
      <c r="D838" s="49"/>
      <c r="F838" s="49"/>
      <c r="G838" s="7"/>
    </row>
    <row r="839">
      <c r="C839" s="48"/>
      <c r="D839" s="49"/>
      <c r="F839" s="49"/>
      <c r="G839" s="7"/>
    </row>
    <row r="840">
      <c r="C840" s="48"/>
      <c r="D840" s="49"/>
      <c r="F840" s="49"/>
      <c r="G840" s="7"/>
    </row>
    <row r="841">
      <c r="C841" s="48"/>
      <c r="D841" s="49"/>
      <c r="F841" s="49"/>
      <c r="G841" s="7"/>
    </row>
    <row r="842">
      <c r="C842" s="48"/>
      <c r="D842" s="49"/>
      <c r="F842" s="49"/>
      <c r="G842" s="7"/>
    </row>
    <row r="843">
      <c r="C843" s="48"/>
      <c r="D843" s="49"/>
      <c r="F843" s="49"/>
      <c r="G843" s="7"/>
    </row>
    <row r="844">
      <c r="C844" s="48"/>
      <c r="D844" s="49"/>
      <c r="F844" s="49"/>
      <c r="G844" s="7"/>
    </row>
    <row r="845">
      <c r="C845" s="48"/>
      <c r="D845" s="49"/>
      <c r="F845" s="49"/>
      <c r="G845" s="7"/>
    </row>
    <row r="846">
      <c r="C846" s="48"/>
      <c r="D846" s="49"/>
      <c r="F846" s="49"/>
      <c r="G846" s="7"/>
    </row>
    <row r="847">
      <c r="C847" s="48"/>
      <c r="D847" s="49"/>
      <c r="F847" s="49"/>
      <c r="G847" s="7"/>
    </row>
    <row r="848">
      <c r="C848" s="48"/>
      <c r="D848" s="49"/>
      <c r="F848" s="49"/>
      <c r="G848" s="7"/>
    </row>
    <row r="849">
      <c r="C849" s="48"/>
      <c r="D849" s="49"/>
      <c r="F849" s="49"/>
      <c r="G849" s="7"/>
    </row>
    <row r="850">
      <c r="C850" s="48"/>
      <c r="D850" s="49"/>
      <c r="F850" s="49"/>
      <c r="G850" s="7"/>
    </row>
    <row r="851">
      <c r="C851" s="48"/>
      <c r="D851" s="49"/>
      <c r="F851" s="49"/>
      <c r="G851" s="7"/>
    </row>
    <row r="852">
      <c r="C852" s="48"/>
      <c r="D852" s="49"/>
      <c r="F852" s="49"/>
      <c r="G852" s="7"/>
    </row>
    <row r="853">
      <c r="C853" s="48"/>
      <c r="D853" s="49"/>
      <c r="F853" s="49"/>
      <c r="G853" s="7"/>
    </row>
    <row r="854">
      <c r="C854" s="48"/>
      <c r="D854" s="49"/>
      <c r="F854" s="49"/>
      <c r="G854" s="7"/>
    </row>
    <row r="855">
      <c r="C855" s="48"/>
      <c r="D855" s="49"/>
      <c r="F855" s="49"/>
      <c r="G855" s="7"/>
    </row>
    <row r="856">
      <c r="C856" s="48"/>
      <c r="D856" s="49"/>
      <c r="F856" s="49"/>
      <c r="G856" s="7"/>
    </row>
    <row r="857">
      <c r="C857" s="48"/>
      <c r="D857" s="49"/>
      <c r="F857" s="49"/>
      <c r="G857" s="7"/>
    </row>
    <row r="858">
      <c r="C858" s="48"/>
      <c r="D858" s="49"/>
      <c r="F858" s="49"/>
      <c r="G858" s="7"/>
    </row>
    <row r="859">
      <c r="C859" s="48"/>
      <c r="D859" s="49"/>
      <c r="F859" s="49"/>
      <c r="G859" s="7"/>
    </row>
    <row r="860">
      <c r="C860" s="48"/>
      <c r="D860" s="49"/>
      <c r="F860" s="49"/>
      <c r="G860" s="7"/>
    </row>
    <row r="861">
      <c r="C861" s="48"/>
      <c r="D861" s="49"/>
      <c r="F861" s="49"/>
      <c r="G861" s="7"/>
    </row>
    <row r="862">
      <c r="C862" s="48"/>
      <c r="D862" s="49"/>
      <c r="F862" s="49"/>
      <c r="G862" s="7"/>
    </row>
    <row r="863">
      <c r="C863" s="48"/>
      <c r="D863" s="49"/>
      <c r="F863" s="49"/>
      <c r="G863" s="7"/>
    </row>
    <row r="864">
      <c r="C864" s="48"/>
      <c r="D864" s="49"/>
      <c r="F864" s="49"/>
      <c r="G864" s="7"/>
    </row>
    <row r="865">
      <c r="C865" s="48"/>
      <c r="D865" s="49"/>
      <c r="F865" s="49"/>
      <c r="G865" s="7"/>
    </row>
    <row r="866">
      <c r="C866" s="48"/>
      <c r="D866" s="49"/>
      <c r="F866" s="49"/>
      <c r="G866" s="7"/>
    </row>
    <row r="867">
      <c r="C867" s="48"/>
      <c r="D867" s="49"/>
      <c r="F867" s="49"/>
      <c r="G867" s="7"/>
    </row>
    <row r="868">
      <c r="C868" s="48"/>
      <c r="D868" s="49"/>
      <c r="F868" s="49"/>
      <c r="G868" s="7"/>
    </row>
    <row r="869">
      <c r="C869" s="48"/>
      <c r="D869" s="49"/>
      <c r="F869" s="49"/>
      <c r="G869" s="7"/>
    </row>
    <row r="870">
      <c r="C870" s="48"/>
      <c r="D870" s="49"/>
      <c r="F870" s="49"/>
      <c r="G870" s="7"/>
    </row>
    <row r="871">
      <c r="C871" s="48"/>
      <c r="D871" s="49"/>
      <c r="F871" s="49"/>
      <c r="G871" s="7"/>
    </row>
    <row r="872">
      <c r="C872" s="48"/>
      <c r="D872" s="49"/>
      <c r="F872" s="49"/>
      <c r="G872" s="7"/>
    </row>
    <row r="873">
      <c r="C873" s="48"/>
      <c r="D873" s="49"/>
      <c r="F873" s="49"/>
      <c r="G873" s="7"/>
    </row>
    <row r="874">
      <c r="C874" s="48"/>
      <c r="D874" s="49"/>
      <c r="F874" s="49"/>
      <c r="G874" s="7"/>
    </row>
    <row r="875">
      <c r="C875" s="48"/>
      <c r="D875" s="49"/>
      <c r="F875" s="49"/>
      <c r="G875" s="7"/>
    </row>
    <row r="876">
      <c r="C876" s="48"/>
      <c r="D876" s="49"/>
      <c r="F876" s="49"/>
      <c r="G876" s="7"/>
    </row>
    <row r="877">
      <c r="C877" s="48"/>
      <c r="D877" s="49"/>
      <c r="F877" s="49"/>
      <c r="G877" s="7"/>
    </row>
    <row r="878">
      <c r="C878" s="48"/>
      <c r="D878" s="49"/>
      <c r="F878" s="49"/>
      <c r="G878" s="7"/>
    </row>
    <row r="879">
      <c r="C879" s="48"/>
      <c r="D879" s="49"/>
      <c r="F879" s="49"/>
      <c r="G879" s="7"/>
    </row>
    <row r="880">
      <c r="C880" s="48"/>
      <c r="D880" s="49"/>
      <c r="F880" s="49"/>
      <c r="G880" s="7"/>
    </row>
    <row r="881">
      <c r="C881" s="48"/>
      <c r="D881" s="49"/>
      <c r="F881" s="49"/>
      <c r="G881" s="7"/>
    </row>
    <row r="882">
      <c r="C882" s="48"/>
      <c r="D882" s="49"/>
      <c r="F882" s="49"/>
      <c r="G882" s="7"/>
    </row>
    <row r="883">
      <c r="C883" s="48"/>
      <c r="D883" s="49"/>
      <c r="F883" s="49"/>
      <c r="G883" s="7"/>
    </row>
    <row r="884">
      <c r="C884" s="48"/>
      <c r="D884" s="49"/>
      <c r="F884" s="49"/>
      <c r="G884" s="7"/>
    </row>
    <row r="885">
      <c r="C885" s="48"/>
      <c r="D885" s="49"/>
      <c r="F885" s="49"/>
      <c r="G885" s="7"/>
    </row>
    <row r="886">
      <c r="C886" s="48"/>
      <c r="D886" s="49"/>
      <c r="F886" s="49"/>
      <c r="G886" s="7"/>
    </row>
    <row r="887">
      <c r="C887" s="48"/>
      <c r="D887" s="49"/>
      <c r="F887" s="49"/>
      <c r="G887" s="7"/>
    </row>
    <row r="888">
      <c r="C888" s="48"/>
      <c r="D888" s="49"/>
      <c r="F888" s="49"/>
      <c r="G888" s="7"/>
    </row>
    <row r="889">
      <c r="C889" s="48"/>
      <c r="D889" s="49"/>
      <c r="F889" s="49"/>
      <c r="G889" s="7"/>
    </row>
    <row r="890">
      <c r="C890" s="48"/>
      <c r="D890" s="49"/>
      <c r="F890" s="49"/>
      <c r="G890" s="7"/>
    </row>
    <row r="891">
      <c r="C891" s="48"/>
      <c r="D891" s="49"/>
      <c r="F891" s="49"/>
      <c r="G891" s="7"/>
    </row>
    <row r="892">
      <c r="C892" s="48"/>
      <c r="D892" s="49"/>
      <c r="F892" s="49"/>
      <c r="G892" s="7"/>
    </row>
    <row r="893">
      <c r="C893" s="48"/>
      <c r="D893" s="49"/>
      <c r="F893" s="49"/>
      <c r="G893" s="7"/>
    </row>
    <row r="894">
      <c r="C894" s="48"/>
      <c r="D894" s="49"/>
      <c r="F894" s="49"/>
      <c r="G894" s="7"/>
    </row>
    <row r="895">
      <c r="C895" s="48"/>
      <c r="D895" s="49"/>
      <c r="F895" s="49"/>
      <c r="G895" s="7"/>
    </row>
    <row r="896">
      <c r="C896" s="48"/>
      <c r="D896" s="49"/>
      <c r="F896" s="49"/>
      <c r="G896" s="7"/>
    </row>
    <row r="897">
      <c r="C897" s="48"/>
      <c r="D897" s="49"/>
      <c r="F897" s="49"/>
      <c r="G897" s="7"/>
    </row>
    <row r="898">
      <c r="C898" s="48"/>
      <c r="D898" s="49"/>
      <c r="F898" s="49"/>
      <c r="G898" s="7"/>
    </row>
    <row r="899">
      <c r="C899" s="48"/>
      <c r="D899" s="49"/>
      <c r="F899" s="49"/>
      <c r="G899" s="7"/>
    </row>
    <row r="900">
      <c r="C900" s="48"/>
      <c r="D900" s="49"/>
      <c r="F900" s="49"/>
      <c r="G900" s="7"/>
    </row>
    <row r="901">
      <c r="C901" s="48"/>
      <c r="D901" s="49"/>
      <c r="F901" s="49"/>
      <c r="G901" s="7"/>
    </row>
    <row r="902">
      <c r="C902" s="48"/>
      <c r="D902" s="49"/>
      <c r="F902" s="49"/>
      <c r="G902" s="7"/>
    </row>
    <row r="903">
      <c r="C903" s="48"/>
      <c r="D903" s="49"/>
      <c r="F903" s="49"/>
      <c r="G903" s="7"/>
    </row>
    <row r="904">
      <c r="C904" s="48"/>
      <c r="D904" s="49"/>
      <c r="F904" s="49"/>
      <c r="G904" s="7"/>
    </row>
    <row r="905">
      <c r="C905" s="48"/>
      <c r="D905" s="49"/>
      <c r="F905" s="49"/>
      <c r="G905" s="7"/>
    </row>
    <row r="906">
      <c r="C906" s="48"/>
      <c r="D906" s="49"/>
      <c r="F906" s="49"/>
      <c r="G906" s="7"/>
    </row>
    <row r="907">
      <c r="C907" s="48"/>
      <c r="D907" s="49"/>
      <c r="F907" s="49"/>
      <c r="G907" s="7"/>
    </row>
    <row r="908">
      <c r="C908" s="48"/>
      <c r="D908" s="49"/>
      <c r="F908" s="49"/>
      <c r="G908" s="7"/>
    </row>
    <row r="909">
      <c r="C909" s="48"/>
      <c r="D909" s="49"/>
      <c r="F909" s="49"/>
      <c r="G909" s="7"/>
    </row>
    <row r="910">
      <c r="C910" s="48"/>
      <c r="D910" s="49"/>
      <c r="F910" s="49"/>
      <c r="G910" s="7"/>
    </row>
    <row r="911">
      <c r="C911" s="48"/>
      <c r="D911" s="49"/>
      <c r="F911" s="49"/>
      <c r="G911" s="7"/>
    </row>
    <row r="912">
      <c r="C912" s="48"/>
      <c r="D912" s="49"/>
      <c r="F912" s="49"/>
      <c r="G912" s="7"/>
    </row>
    <row r="913">
      <c r="C913" s="48"/>
      <c r="D913" s="49"/>
      <c r="F913" s="49"/>
      <c r="G913" s="7"/>
    </row>
    <row r="914">
      <c r="C914" s="48"/>
      <c r="D914" s="49"/>
      <c r="F914" s="49"/>
      <c r="G914" s="7"/>
    </row>
    <row r="915">
      <c r="C915" s="48"/>
      <c r="D915" s="49"/>
      <c r="F915" s="49"/>
      <c r="G915" s="7"/>
    </row>
    <row r="916">
      <c r="C916" s="48"/>
      <c r="D916" s="49"/>
      <c r="F916" s="49"/>
      <c r="G916" s="7"/>
    </row>
    <row r="917">
      <c r="C917" s="48"/>
      <c r="D917" s="49"/>
      <c r="F917" s="49"/>
      <c r="G917" s="7"/>
    </row>
    <row r="918">
      <c r="C918" s="48"/>
      <c r="D918" s="49"/>
      <c r="F918" s="49"/>
      <c r="G918" s="7"/>
    </row>
    <row r="919">
      <c r="C919" s="48"/>
      <c r="D919" s="49"/>
      <c r="F919" s="49"/>
      <c r="G919" s="7"/>
    </row>
    <row r="920">
      <c r="C920" s="48"/>
      <c r="D920" s="49"/>
      <c r="F920" s="49"/>
      <c r="G920" s="7"/>
    </row>
    <row r="921">
      <c r="C921" s="48"/>
      <c r="D921" s="49"/>
      <c r="F921" s="49"/>
      <c r="G921" s="7"/>
    </row>
    <row r="922">
      <c r="C922" s="48"/>
      <c r="D922" s="49"/>
      <c r="F922" s="49"/>
      <c r="G922" s="7"/>
    </row>
    <row r="923">
      <c r="C923" s="48"/>
      <c r="D923" s="49"/>
      <c r="F923" s="49"/>
      <c r="G923" s="7"/>
    </row>
    <row r="924">
      <c r="C924" s="48"/>
      <c r="D924" s="49"/>
      <c r="F924" s="49"/>
      <c r="G924" s="7"/>
    </row>
    <row r="925">
      <c r="C925" s="48"/>
      <c r="D925" s="49"/>
      <c r="F925" s="49"/>
      <c r="G925" s="7"/>
    </row>
    <row r="926">
      <c r="C926" s="48"/>
      <c r="D926" s="49"/>
      <c r="F926" s="49"/>
      <c r="G926" s="7"/>
    </row>
    <row r="927">
      <c r="C927" s="48"/>
      <c r="D927" s="49"/>
      <c r="F927" s="49"/>
      <c r="G927" s="7"/>
    </row>
    <row r="928">
      <c r="C928" s="48"/>
      <c r="D928" s="49"/>
      <c r="F928" s="49"/>
      <c r="G928" s="7"/>
    </row>
    <row r="929">
      <c r="C929" s="48"/>
      <c r="D929" s="49"/>
      <c r="F929" s="49"/>
      <c r="G929" s="7"/>
    </row>
    <row r="930">
      <c r="C930" s="48"/>
      <c r="D930" s="49"/>
      <c r="F930" s="49"/>
      <c r="G930" s="7"/>
    </row>
    <row r="931">
      <c r="C931" s="48"/>
      <c r="D931" s="49"/>
      <c r="F931" s="49"/>
      <c r="G931" s="7"/>
    </row>
    <row r="932">
      <c r="C932" s="48"/>
      <c r="D932" s="49"/>
      <c r="F932" s="49"/>
      <c r="G932" s="7"/>
    </row>
    <row r="933">
      <c r="C933" s="48"/>
      <c r="D933" s="49"/>
      <c r="F933" s="49"/>
      <c r="G933" s="7"/>
    </row>
    <row r="934">
      <c r="C934" s="48"/>
      <c r="D934" s="49"/>
      <c r="F934" s="49"/>
      <c r="G934" s="7"/>
    </row>
    <row r="935">
      <c r="C935" s="48"/>
      <c r="D935" s="49"/>
      <c r="F935" s="49"/>
      <c r="G935" s="7"/>
    </row>
    <row r="936">
      <c r="C936" s="48"/>
      <c r="D936" s="49"/>
      <c r="F936" s="49"/>
      <c r="G936" s="7"/>
    </row>
    <row r="937">
      <c r="C937" s="48"/>
      <c r="D937" s="49"/>
      <c r="F937" s="49"/>
      <c r="G937" s="7"/>
    </row>
    <row r="938">
      <c r="C938" s="48"/>
      <c r="D938" s="49"/>
      <c r="F938" s="49"/>
      <c r="G938" s="7"/>
    </row>
    <row r="939">
      <c r="C939" s="48"/>
      <c r="D939" s="49"/>
      <c r="F939" s="49"/>
      <c r="G939" s="7"/>
    </row>
    <row r="940">
      <c r="C940" s="48"/>
      <c r="D940" s="49"/>
      <c r="F940" s="49"/>
      <c r="G940" s="7"/>
    </row>
    <row r="941">
      <c r="C941" s="48"/>
      <c r="D941" s="49"/>
      <c r="F941" s="49"/>
      <c r="G941" s="7"/>
    </row>
    <row r="942">
      <c r="C942" s="48"/>
      <c r="D942" s="49"/>
      <c r="F942" s="49"/>
      <c r="G942" s="7"/>
    </row>
    <row r="943">
      <c r="C943" s="48"/>
      <c r="D943" s="49"/>
      <c r="F943" s="49"/>
      <c r="G943" s="7"/>
    </row>
    <row r="944">
      <c r="C944" s="48"/>
      <c r="D944" s="49"/>
      <c r="F944" s="49"/>
      <c r="G944" s="7"/>
    </row>
    <row r="945">
      <c r="C945" s="48"/>
      <c r="D945" s="49"/>
      <c r="F945" s="49"/>
      <c r="G945" s="7"/>
    </row>
    <row r="946">
      <c r="C946" s="48"/>
      <c r="D946" s="49"/>
      <c r="F946" s="49"/>
      <c r="G946" s="7"/>
    </row>
    <row r="947">
      <c r="C947" s="48"/>
      <c r="D947" s="49"/>
      <c r="F947" s="49"/>
      <c r="G947" s="7"/>
    </row>
    <row r="948">
      <c r="C948" s="48"/>
      <c r="D948" s="49"/>
      <c r="F948" s="49"/>
      <c r="G948" s="7"/>
    </row>
    <row r="949">
      <c r="C949" s="48"/>
      <c r="D949" s="49"/>
      <c r="F949" s="49"/>
      <c r="G949" s="7"/>
    </row>
    <row r="950">
      <c r="C950" s="48"/>
      <c r="D950" s="49"/>
      <c r="F950" s="49"/>
      <c r="G950" s="7"/>
    </row>
    <row r="951">
      <c r="C951" s="48"/>
      <c r="D951" s="49"/>
      <c r="F951" s="49"/>
      <c r="G951" s="7"/>
    </row>
    <row r="952">
      <c r="C952" s="48"/>
      <c r="D952" s="49"/>
      <c r="F952" s="49"/>
      <c r="G952" s="7"/>
    </row>
    <row r="953">
      <c r="C953" s="48"/>
      <c r="D953" s="49"/>
      <c r="F953" s="49"/>
      <c r="G953" s="7"/>
    </row>
    <row r="954">
      <c r="C954" s="48"/>
      <c r="D954" s="49"/>
      <c r="F954" s="49"/>
      <c r="G954" s="7"/>
    </row>
    <row r="955">
      <c r="C955" s="48"/>
      <c r="D955" s="49"/>
      <c r="F955" s="49"/>
      <c r="G955" s="7"/>
    </row>
    <row r="956">
      <c r="C956" s="48"/>
      <c r="D956" s="49"/>
      <c r="F956" s="49"/>
      <c r="G956" s="7"/>
    </row>
    <row r="957">
      <c r="C957" s="48"/>
      <c r="D957" s="49"/>
      <c r="F957" s="49"/>
      <c r="G957" s="7"/>
    </row>
    <row r="958">
      <c r="C958" s="48"/>
      <c r="D958" s="49"/>
      <c r="F958" s="49"/>
      <c r="G958" s="7"/>
    </row>
    <row r="959">
      <c r="C959" s="48"/>
      <c r="D959" s="49"/>
      <c r="F959" s="49"/>
      <c r="G959" s="7"/>
    </row>
    <row r="960">
      <c r="C960" s="48"/>
      <c r="D960" s="49"/>
      <c r="F960" s="49"/>
      <c r="G960" s="7"/>
    </row>
    <row r="961">
      <c r="C961" s="48"/>
      <c r="D961" s="49"/>
      <c r="F961" s="49"/>
      <c r="G961" s="7"/>
    </row>
    <row r="962">
      <c r="C962" s="48"/>
      <c r="D962" s="49"/>
      <c r="F962" s="49"/>
      <c r="G962" s="7"/>
    </row>
    <row r="963">
      <c r="C963" s="48"/>
      <c r="D963" s="49"/>
      <c r="F963" s="49"/>
      <c r="G963" s="7"/>
    </row>
    <row r="964">
      <c r="C964" s="48"/>
      <c r="D964" s="49"/>
      <c r="F964" s="49"/>
      <c r="G964" s="7"/>
    </row>
    <row r="965">
      <c r="C965" s="48"/>
      <c r="D965" s="49"/>
      <c r="F965" s="49"/>
      <c r="G965" s="7"/>
    </row>
    <row r="966">
      <c r="C966" s="48"/>
      <c r="D966" s="49"/>
      <c r="F966" s="49"/>
      <c r="G966" s="7"/>
    </row>
    <row r="967">
      <c r="C967" s="48"/>
      <c r="D967" s="49"/>
      <c r="F967" s="49"/>
      <c r="G967" s="7"/>
    </row>
    <row r="968">
      <c r="C968" s="48"/>
      <c r="D968" s="49"/>
      <c r="F968" s="49"/>
      <c r="G968" s="7"/>
    </row>
    <row r="969">
      <c r="C969" s="48"/>
      <c r="D969" s="49"/>
      <c r="F969" s="49"/>
      <c r="G969" s="7"/>
    </row>
    <row r="970">
      <c r="C970" s="48"/>
      <c r="D970" s="49"/>
      <c r="F970" s="49"/>
      <c r="G970" s="7"/>
    </row>
    <row r="971">
      <c r="C971" s="48"/>
      <c r="D971" s="49"/>
      <c r="F971" s="49"/>
      <c r="G971" s="7"/>
    </row>
    <row r="972">
      <c r="C972" s="48"/>
      <c r="D972" s="49"/>
      <c r="F972" s="49"/>
      <c r="G972" s="7"/>
    </row>
    <row r="973">
      <c r="C973" s="48"/>
      <c r="D973" s="49"/>
      <c r="F973" s="49"/>
      <c r="G973" s="7"/>
    </row>
    <row r="974">
      <c r="C974" s="48"/>
      <c r="D974" s="49"/>
      <c r="F974" s="49"/>
      <c r="G974" s="7"/>
    </row>
    <row r="975">
      <c r="C975" s="48"/>
      <c r="D975" s="49"/>
      <c r="F975" s="49"/>
      <c r="G975" s="7"/>
    </row>
    <row r="976">
      <c r="C976" s="48"/>
      <c r="D976" s="49"/>
      <c r="F976" s="49"/>
      <c r="G976" s="7"/>
    </row>
    <row r="977">
      <c r="C977" s="48"/>
      <c r="D977" s="49"/>
      <c r="F977" s="49"/>
      <c r="G977" s="7"/>
    </row>
    <row r="978">
      <c r="C978" s="48"/>
      <c r="D978" s="49"/>
      <c r="F978" s="49"/>
      <c r="G978" s="7"/>
    </row>
    <row r="979">
      <c r="C979" s="48"/>
      <c r="D979" s="49"/>
      <c r="F979" s="49"/>
      <c r="G979" s="7"/>
    </row>
    <row r="980">
      <c r="C980" s="48"/>
      <c r="D980" s="49"/>
      <c r="F980" s="49"/>
      <c r="G980" s="7"/>
    </row>
    <row r="981">
      <c r="C981" s="48"/>
      <c r="D981" s="49"/>
      <c r="F981" s="49"/>
      <c r="G981" s="7"/>
    </row>
    <row r="982">
      <c r="C982" s="48"/>
      <c r="D982" s="49"/>
      <c r="F982" s="49"/>
      <c r="G982" s="7"/>
    </row>
    <row r="983">
      <c r="C983" s="48"/>
      <c r="D983" s="49"/>
      <c r="F983" s="49"/>
      <c r="G983" s="7"/>
    </row>
    <row r="984">
      <c r="C984" s="48"/>
      <c r="D984" s="49"/>
      <c r="F984" s="49"/>
      <c r="G984" s="7"/>
    </row>
    <row r="985">
      <c r="C985" s="48"/>
      <c r="D985" s="49"/>
      <c r="F985" s="49"/>
      <c r="G985" s="7"/>
    </row>
    <row r="986">
      <c r="C986" s="48"/>
      <c r="D986" s="49"/>
      <c r="F986" s="49"/>
      <c r="G986" s="7"/>
    </row>
    <row r="987">
      <c r="C987" s="48"/>
      <c r="D987" s="49"/>
      <c r="F987" s="49"/>
      <c r="G987" s="7"/>
    </row>
    <row r="988">
      <c r="C988" s="48"/>
      <c r="D988" s="49"/>
      <c r="F988" s="49"/>
      <c r="G988" s="7"/>
    </row>
    <row r="989">
      <c r="C989" s="48"/>
      <c r="D989" s="49"/>
      <c r="F989" s="49"/>
      <c r="G989" s="7"/>
    </row>
    <row r="990">
      <c r="C990" s="48"/>
      <c r="D990" s="49"/>
      <c r="F990" s="49"/>
      <c r="G990" s="7"/>
    </row>
    <row r="991">
      <c r="C991" s="48"/>
      <c r="D991" s="49"/>
      <c r="F991" s="49"/>
      <c r="G991" s="7"/>
    </row>
    <row r="992">
      <c r="C992" s="48"/>
      <c r="D992" s="49"/>
      <c r="F992" s="49"/>
      <c r="G992" s="7"/>
    </row>
    <row r="993">
      <c r="C993" s="48"/>
      <c r="D993" s="49"/>
      <c r="F993" s="49"/>
      <c r="G993" s="7"/>
    </row>
    <row r="994">
      <c r="C994" s="48"/>
      <c r="D994" s="49"/>
      <c r="F994" s="49"/>
      <c r="G994" s="7"/>
    </row>
    <row r="995">
      <c r="C995" s="48"/>
      <c r="D995" s="49"/>
      <c r="F995" s="49"/>
      <c r="G995" s="7"/>
    </row>
    <row r="996">
      <c r="C996" s="48"/>
      <c r="D996" s="49"/>
      <c r="F996" s="49"/>
      <c r="G996" s="7"/>
    </row>
    <row r="997">
      <c r="C997" s="48"/>
      <c r="D997" s="49"/>
      <c r="F997" s="49"/>
      <c r="G997" s="7"/>
    </row>
    <row r="998">
      <c r="C998" s="48"/>
      <c r="D998" s="49"/>
      <c r="F998" s="49"/>
      <c r="G998" s="7"/>
    </row>
    <row r="999">
      <c r="C999" s="48"/>
      <c r="D999" s="49"/>
      <c r="F999" s="49"/>
      <c r="G999" s="7"/>
    </row>
    <row r="1000">
      <c r="C1000" s="48"/>
      <c r="D1000" s="49"/>
      <c r="F1000" s="49"/>
      <c r="G1000" s="7"/>
    </row>
    <row r="1001">
      <c r="C1001" s="48"/>
      <c r="D1001" s="49"/>
      <c r="F1001" s="49"/>
      <c r="G1001" s="7"/>
    </row>
    <row r="1002">
      <c r="C1002" s="48"/>
      <c r="D1002" s="49"/>
      <c r="F1002" s="49"/>
      <c r="G1002" s="7"/>
    </row>
    <row r="1003">
      <c r="C1003" s="48"/>
      <c r="D1003" s="49"/>
      <c r="F1003" s="49"/>
      <c r="G1003" s="7"/>
    </row>
    <row r="1004">
      <c r="C1004" s="48"/>
      <c r="D1004" s="49"/>
      <c r="F1004" s="49"/>
      <c r="G1004" s="7"/>
    </row>
    <row r="1005">
      <c r="C1005" s="48"/>
      <c r="D1005" s="49"/>
      <c r="F1005" s="49"/>
      <c r="G1005" s="7"/>
    </row>
    <row r="1006">
      <c r="C1006" s="48"/>
      <c r="D1006" s="49"/>
      <c r="F1006" s="49"/>
      <c r="G1006" s="7"/>
    </row>
    <row r="1007">
      <c r="C1007" s="48"/>
      <c r="D1007" s="49"/>
      <c r="F1007" s="49"/>
      <c r="G1007" s="7"/>
    </row>
    <row r="1008">
      <c r="C1008" s="48"/>
      <c r="D1008" s="49"/>
      <c r="F1008" s="49"/>
      <c r="G1008" s="7"/>
    </row>
    <row r="1009">
      <c r="C1009" s="48"/>
      <c r="D1009" s="49"/>
      <c r="F1009" s="49"/>
      <c r="G1009" s="7"/>
    </row>
    <row r="1010">
      <c r="C1010" s="48"/>
      <c r="D1010" s="49"/>
      <c r="F1010" s="49"/>
      <c r="G1010" s="7"/>
    </row>
    <row r="1011">
      <c r="C1011" s="48"/>
      <c r="D1011" s="49"/>
      <c r="F1011" s="49"/>
      <c r="G1011" s="7"/>
    </row>
    <row r="1012">
      <c r="C1012" s="48"/>
      <c r="D1012" s="49"/>
      <c r="F1012" s="49"/>
      <c r="G1012" s="7"/>
    </row>
    <row r="1013">
      <c r="C1013" s="48"/>
      <c r="D1013" s="49"/>
      <c r="F1013" s="49"/>
      <c r="G1013" s="7"/>
    </row>
    <row r="1014">
      <c r="C1014" s="48"/>
      <c r="D1014" s="49"/>
      <c r="F1014" s="49"/>
      <c r="G1014" s="7"/>
    </row>
    <row r="1015">
      <c r="C1015" s="48"/>
      <c r="D1015" s="49"/>
      <c r="F1015" s="49"/>
      <c r="G1015" s="7"/>
    </row>
    <row r="1016">
      <c r="C1016" s="48"/>
      <c r="D1016" s="49"/>
      <c r="F1016" s="49"/>
      <c r="G1016" s="7"/>
    </row>
    <row r="1017">
      <c r="C1017" s="48"/>
      <c r="D1017" s="49"/>
      <c r="F1017" s="49"/>
      <c r="G1017" s="7"/>
    </row>
    <row r="1018">
      <c r="C1018" s="48"/>
      <c r="D1018" s="49"/>
      <c r="F1018" s="49"/>
      <c r="G1018" s="7"/>
    </row>
  </sheetData>
  <mergeCells count="13">
    <mergeCell ref="A46:A55"/>
    <mergeCell ref="A56:A60"/>
    <mergeCell ref="A61:A67"/>
    <mergeCell ref="A68:A73"/>
    <mergeCell ref="B61:B67"/>
    <mergeCell ref="B68:B73"/>
    <mergeCell ref="A2:A15"/>
    <mergeCell ref="B2:B15"/>
    <mergeCell ref="A16:A34"/>
    <mergeCell ref="B16:B34"/>
    <mergeCell ref="A35:A45"/>
    <mergeCell ref="B35:B45"/>
    <mergeCell ref="B46:B60"/>
  </mergeCells>
  <hyperlinks>
    <hyperlink r:id="rId1" ref="A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6"/>
    <hyperlink r:id="rId30" ref="C37"/>
    <hyperlink r:id="rId31" ref="C38"/>
    <hyperlink r:id="rId32" ref="C39"/>
    <hyperlink r:id="rId33" ref="C40"/>
    <hyperlink r:id="rId34" ref="C41"/>
    <hyperlink r:id="rId35" ref="C42"/>
    <hyperlink r:id="rId36" ref="C43"/>
    <hyperlink r:id="rId37" ref="C62"/>
    <hyperlink r:id="rId38" ref="C63"/>
    <hyperlink r:id="rId39" ref="C64"/>
    <hyperlink r:id="rId40" ref="C65"/>
    <hyperlink r:id="rId41" ref="C66"/>
    <hyperlink r:id="rId42" ref="C69"/>
    <hyperlink r:id="rId43" ref="C70"/>
    <hyperlink r:id="rId44" ref="C71"/>
    <hyperlink r:id="rId45" ref="C72"/>
  </hyperlinks>
  <printOptions gridLines="1" horizontalCentered="1"/>
  <pageMargins bottom="0.75" footer="0.0" header="0.0" left="0.7" right="0.7" top="0.75"/>
  <pageSetup fitToHeight="0" paperSize="9" cellComments="atEnd" orientation="landscape" pageOrder="overThenDown"/>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26.75"/>
    <col customWidth="1" min="3" max="3" width="16.75"/>
    <col customWidth="1" min="5" max="5" width="17.63"/>
    <col customWidth="1" min="6" max="6" width="34.5"/>
    <col customWidth="1" min="7" max="7" width="18.88"/>
    <col customWidth="1" min="8" max="8" width="22.13"/>
    <col customWidth="1" min="9" max="9" width="25.75"/>
    <col customWidth="1" min="11" max="11" width="22.5"/>
    <col customWidth="1" min="12" max="12" width="25.88"/>
    <col customWidth="1" min="13" max="13" width="23.88"/>
    <col customWidth="1" min="14" max="14" width="30.5"/>
    <col customWidth="1" min="15" max="15" width="31.13"/>
    <col customWidth="1" min="16" max="16" width="38.0"/>
    <col customWidth="1" min="17" max="17" width="32.0"/>
  </cols>
  <sheetData>
    <row r="1">
      <c r="A1" s="1" t="s">
        <v>776</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1" t="s">
        <v>17</v>
      </c>
      <c r="S1" s="50" t="s">
        <v>777</v>
      </c>
      <c r="T1" s="50" t="s">
        <v>778</v>
      </c>
      <c r="U1" s="50" t="s">
        <v>779</v>
      </c>
      <c r="V1" s="50" t="s">
        <v>780</v>
      </c>
      <c r="W1" s="50" t="s">
        <v>781</v>
      </c>
      <c r="X1" s="50" t="s">
        <v>782</v>
      </c>
      <c r="Y1" s="50" t="s">
        <v>783</v>
      </c>
    </row>
    <row r="2">
      <c r="A2" s="3" t="s">
        <v>18</v>
      </c>
      <c r="B2" s="4" t="s">
        <v>19</v>
      </c>
      <c r="C2" s="4" t="s">
        <v>20</v>
      </c>
      <c r="D2" s="4">
        <v>2025.0</v>
      </c>
      <c r="E2" s="4" t="s">
        <v>21</v>
      </c>
      <c r="F2" s="5" t="s">
        <v>22</v>
      </c>
      <c r="G2" s="4" t="s">
        <v>23</v>
      </c>
      <c r="H2" s="4" t="s">
        <v>24</v>
      </c>
      <c r="I2" s="4" t="s">
        <v>25</v>
      </c>
      <c r="J2" s="4" t="s">
        <v>26</v>
      </c>
      <c r="K2" s="4" t="s">
        <v>27</v>
      </c>
      <c r="L2" s="4" t="s">
        <v>28</v>
      </c>
      <c r="M2" s="4" t="s">
        <v>29</v>
      </c>
      <c r="N2" s="4" t="s">
        <v>30</v>
      </c>
      <c r="O2" s="4" t="s">
        <v>31</v>
      </c>
      <c r="P2" s="4" t="s">
        <v>32</v>
      </c>
      <c r="Q2" s="4" t="s">
        <v>33</v>
      </c>
      <c r="R2" s="4" t="s">
        <v>34</v>
      </c>
      <c r="S2" s="51">
        <v>4.0</v>
      </c>
      <c r="T2" s="51">
        <v>5.0</v>
      </c>
      <c r="U2" s="51">
        <v>4.0</v>
      </c>
      <c r="V2" s="51">
        <v>4.0</v>
      </c>
      <c r="W2" s="51">
        <v>5.0</v>
      </c>
      <c r="X2" s="51">
        <v>4.35</v>
      </c>
      <c r="Y2" s="51">
        <v>4.4</v>
      </c>
    </row>
    <row r="3">
      <c r="A3" s="3" t="s">
        <v>35</v>
      </c>
      <c r="B3" s="4" t="s">
        <v>36</v>
      </c>
      <c r="C3" s="4" t="s">
        <v>37</v>
      </c>
      <c r="D3" s="4">
        <v>2024.0</v>
      </c>
      <c r="E3" s="4" t="s">
        <v>38</v>
      </c>
      <c r="F3" s="6" t="s">
        <v>39</v>
      </c>
      <c r="G3" s="4" t="s">
        <v>40</v>
      </c>
      <c r="H3" s="4" t="s">
        <v>41</v>
      </c>
      <c r="I3" s="4" t="s">
        <v>42</v>
      </c>
      <c r="J3" s="4" t="s">
        <v>43</v>
      </c>
      <c r="K3" s="4" t="s">
        <v>44</v>
      </c>
      <c r="L3" s="4" t="s">
        <v>45</v>
      </c>
      <c r="M3" s="4" t="s">
        <v>29</v>
      </c>
      <c r="N3" s="4" t="s">
        <v>46</v>
      </c>
      <c r="O3" s="4" t="s">
        <v>47</v>
      </c>
      <c r="P3" s="4" t="s">
        <v>48</v>
      </c>
      <c r="Q3" s="4" t="s">
        <v>49</v>
      </c>
      <c r="R3" s="4" t="s">
        <v>34</v>
      </c>
      <c r="S3" s="51">
        <v>2.0</v>
      </c>
      <c r="T3" s="51">
        <v>5.0</v>
      </c>
      <c r="U3" s="51">
        <v>4.0</v>
      </c>
      <c r="V3" s="51">
        <v>4.0</v>
      </c>
      <c r="W3" s="51">
        <v>5.0</v>
      </c>
      <c r="X3" s="51">
        <v>3.85</v>
      </c>
      <c r="Y3" s="51">
        <v>4.1</v>
      </c>
    </row>
    <row r="4">
      <c r="A4" s="4" t="s">
        <v>50</v>
      </c>
      <c r="B4" s="4" t="s">
        <v>51</v>
      </c>
      <c r="C4" s="4" t="s">
        <v>52</v>
      </c>
      <c r="D4" s="4">
        <v>2025.0</v>
      </c>
      <c r="E4" s="4" t="s">
        <v>53</v>
      </c>
      <c r="F4" s="6" t="s">
        <v>54</v>
      </c>
      <c r="G4" s="4" t="s">
        <v>55</v>
      </c>
      <c r="H4" s="4" t="s">
        <v>56</v>
      </c>
      <c r="I4" s="4" t="s">
        <v>57</v>
      </c>
      <c r="J4" s="4" t="s">
        <v>58</v>
      </c>
      <c r="K4" s="4" t="s">
        <v>59</v>
      </c>
      <c r="L4" s="4" t="s">
        <v>60</v>
      </c>
      <c r="M4" s="4" t="s">
        <v>29</v>
      </c>
      <c r="N4" s="4" t="s">
        <v>61</v>
      </c>
      <c r="O4" s="4" t="s">
        <v>62</v>
      </c>
      <c r="P4" s="4" t="s">
        <v>63</v>
      </c>
      <c r="Q4" s="4" t="s">
        <v>64</v>
      </c>
      <c r="R4" s="4" t="s">
        <v>65</v>
      </c>
      <c r="S4" s="51">
        <v>4.0</v>
      </c>
      <c r="T4" s="51">
        <v>5.0</v>
      </c>
      <c r="U4" s="51">
        <v>4.0</v>
      </c>
      <c r="V4" s="51">
        <v>4.0</v>
      </c>
      <c r="W4" s="51">
        <v>5.0</v>
      </c>
      <c r="X4" s="51">
        <v>4.35</v>
      </c>
      <c r="Y4" s="51">
        <v>4.5</v>
      </c>
    </row>
    <row r="5">
      <c r="A5" s="4" t="s">
        <v>66</v>
      </c>
      <c r="B5" s="4" t="s">
        <v>67</v>
      </c>
      <c r="C5" s="4" t="s">
        <v>68</v>
      </c>
      <c r="D5" s="4">
        <v>2025.0</v>
      </c>
      <c r="E5" s="4" t="s">
        <v>69</v>
      </c>
      <c r="F5" s="6" t="s">
        <v>67</v>
      </c>
      <c r="G5" s="4" t="s">
        <v>70</v>
      </c>
      <c r="H5" s="4" t="s">
        <v>71</v>
      </c>
      <c r="I5" s="4" t="s">
        <v>72</v>
      </c>
      <c r="J5" s="4" t="s">
        <v>784</v>
      </c>
      <c r="K5" s="4" t="s">
        <v>74</v>
      </c>
      <c r="L5" s="4" t="s">
        <v>75</v>
      </c>
      <c r="M5" s="4" t="s">
        <v>29</v>
      </c>
      <c r="N5" s="4" t="s">
        <v>76</v>
      </c>
      <c r="O5" s="4" t="s">
        <v>77</v>
      </c>
      <c r="P5" s="4" t="s">
        <v>78</v>
      </c>
      <c r="Q5" s="4" t="s">
        <v>79</v>
      </c>
      <c r="R5" s="4" t="s">
        <v>65</v>
      </c>
      <c r="S5" s="51">
        <v>3.0</v>
      </c>
      <c r="T5" s="51">
        <v>4.0</v>
      </c>
      <c r="U5" s="51">
        <v>1.0</v>
      </c>
      <c r="V5" s="51">
        <v>4.0</v>
      </c>
      <c r="W5" s="51">
        <v>5.0</v>
      </c>
      <c r="X5" s="51">
        <v>3.25</v>
      </c>
      <c r="Y5" s="51">
        <v>3.35</v>
      </c>
    </row>
    <row r="6">
      <c r="A6" s="4" t="s">
        <v>81</v>
      </c>
      <c r="B6" s="4" t="s">
        <v>82</v>
      </c>
      <c r="C6" s="4" t="s">
        <v>83</v>
      </c>
      <c r="D6" s="4">
        <v>2025.0</v>
      </c>
      <c r="E6" s="4" t="s">
        <v>84</v>
      </c>
      <c r="F6" s="6" t="s">
        <v>85</v>
      </c>
      <c r="G6" s="4" t="s">
        <v>86</v>
      </c>
      <c r="H6" s="4" t="s">
        <v>87</v>
      </c>
      <c r="I6" s="4" t="s">
        <v>88</v>
      </c>
      <c r="J6" s="4" t="s">
        <v>89</v>
      </c>
      <c r="K6" s="4" t="s">
        <v>90</v>
      </c>
      <c r="L6" s="4" t="s">
        <v>91</v>
      </c>
      <c r="M6" s="4" t="s">
        <v>29</v>
      </c>
      <c r="N6" s="4" t="s">
        <v>92</v>
      </c>
      <c r="O6" s="4" t="s">
        <v>93</v>
      </c>
      <c r="P6" s="4" t="s">
        <v>94</v>
      </c>
      <c r="Q6" s="4" t="s">
        <v>95</v>
      </c>
      <c r="R6" s="4" t="s">
        <v>96</v>
      </c>
      <c r="S6" s="51">
        <v>3.0</v>
      </c>
      <c r="T6" s="51">
        <v>5.0</v>
      </c>
      <c r="U6" s="51">
        <v>4.0</v>
      </c>
      <c r="V6" s="51">
        <v>5.0</v>
      </c>
      <c r="W6" s="51">
        <v>5.0</v>
      </c>
      <c r="X6" s="51">
        <v>4.3</v>
      </c>
      <c r="Y6" s="51">
        <v>4.55</v>
      </c>
    </row>
    <row r="7">
      <c r="A7" s="4" t="s">
        <v>97</v>
      </c>
      <c r="B7" s="4" t="s">
        <v>98</v>
      </c>
      <c r="C7" s="4" t="s">
        <v>99</v>
      </c>
      <c r="D7" s="4">
        <v>2023.0</v>
      </c>
      <c r="E7" s="4" t="s">
        <v>100</v>
      </c>
      <c r="F7" s="6" t="s">
        <v>101</v>
      </c>
      <c r="G7" s="4" t="s">
        <v>102</v>
      </c>
      <c r="H7" s="4" t="s">
        <v>103</v>
      </c>
      <c r="I7" s="4" t="s">
        <v>104</v>
      </c>
      <c r="J7" s="4" t="s">
        <v>105</v>
      </c>
      <c r="K7" s="4" t="s">
        <v>106</v>
      </c>
      <c r="L7" s="4" t="s">
        <v>107</v>
      </c>
      <c r="M7" s="4" t="s">
        <v>108</v>
      </c>
      <c r="N7" s="4" t="s">
        <v>109</v>
      </c>
      <c r="O7" s="4" t="s">
        <v>110</v>
      </c>
      <c r="P7" s="4" t="s">
        <v>111</v>
      </c>
      <c r="Q7" s="4" t="s">
        <v>112</v>
      </c>
      <c r="R7" s="4" t="s">
        <v>96</v>
      </c>
      <c r="S7" s="51">
        <v>3.0</v>
      </c>
      <c r="T7" s="51">
        <v>5.0</v>
      </c>
      <c r="U7" s="51">
        <v>5.0</v>
      </c>
      <c r="V7" s="51">
        <v>5.0</v>
      </c>
      <c r="W7" s="51">
        <v>5.0</v>
      </c>
      <c r="X7" s="51">
        <v>4.5</v>
      </c>
      <c r="Y7" s="51">
        <v>4.8</v>
      </c>
    </row>
    <row r="8">
      <c r="A8" s="4" t="s">
        <v>113</v>
      </c>
      <c r="B8" s="4" t="s">
        <v>114</v>
      </c>
      <c r="C8" s="4" t="s">
        <v>115</v>
      </c>
      <c r="D8" s="4">
        <v>2023.0</v>
      </c>
      <c r="E8" s="4" t="s">
        <v>116</v>
      </c>
      <c r="F8" s="6" t="s">
        <v>114</v>
      </c>
      <c r="G8" s="4" t="s">
        <v>117</v>
      </c>
      <c r="H8" s="4" t="s">
        <v>118</v>
      </c>
      <c r="I8" s="4" t="s">
        <v>119</v>
      </c>
      <c r="J8" s="4" t="s">
        <v>120</v>
      </c>
      <c r="K8" s="4" t="s">
        <v>121</v>
      </c>
      <c r="L8" s="4" t="s">
        <v>122</v>
      </c>
      <c r="M8" s="4" t="s">
        <v>29</v>
      </c>
      <c r="N8" s="4" t="s">
        <v>123</v>
      </c>
      <c r="O8" s="4" t="s">
        <v>124</v>
      </c>
      <c r="P8" s="4" t="s">
        <v>125</v>
      </c>
      <c r="Q8" s="4" t="s">
        <v>126</v>
      </c>
      <c r="R8" s="8" t="s">
        <v>34</v>
      </c>
      <c r="S8" s="51">
        <v>3.0</v>
      </c>
      <c r="T8" s="51">
        <v>5.0</v>
      </c>
      <c r="U8" s="51">
        <v>4.0</v>
      </c>
      <c r="V8" s="51">
        <v>4.0</v>
      </c>
      <c r="W8" s="51">
        <v>5.0</v>
      </c>
      <c r="X8" s="51">
        <v>4.1</v>
      </c>
      <c r="Y8" s="51">
        <v>4.25</v>
      </c>
    </row>
    <row r="9">
      <c r="A9" s="4" t="s">
        <v>127</v>
      </c>
      <c r="B9" s="4" t="s">
        <v>128</v>
      </c>
      <c r="C9" s="4" t="s">
        <v>129</v>
      </c>
      <c r="D9" s="4">
        <v>2024.0</v>
      </c>
      <c r="E9" s="4" t="s">
        <v>130</v>
      </c>
      <c r="F9" s="6" t="s">
        <v>128</v>
      </c>
      <c r="G9" s="4" t="s">
        <v>131</v>
      </c>
      <c r="H9" s="4" t="s">
        <v>132</v>
      </c>
      <c r="I9" s="4" t="s">
        <v>133</v>
      </c>
      <c r="J9" s="4" t="s">
        <v>134</v>
      </c>
      <c r="K9" s="4" t="s">
        <v>135</v>
      </c>
      <c r="L9" s="4" t="s">
        <v>136</v>
      </c>
      <c r="M9" s="4" t="s">
        <v>29</v>
      </c>
      <c r="N9" s="4" t="s">
        <v>137</v>
      </c>
      <c r="O9" s="4" t="s">
        <v>138</v>
      </c>
      <c r="P9" s="4" t="s">
        <v>139</v>
      </c>
      <c r="Q9" s="4" t="s">
        <v>140</v>
      </c>
      <c r="R9" s="4" t="s">
        <v>34</v>
      </c>
      <c r="S9" s="51">
        <v>3.0</v>
      </c>
      <c r="T9" s="51">
        <v>5.0</v>
      </c>
      <c r="U9" s="51">
        <v>4.0</v>
      </c>
      <c r="V9" s="51">
        <v>4.0</v>
      </c>
      <c r="W9" s="51">
        <v>5.0</v>
      </c>
      <c r="X9" s="51">
        <v>4.1</v>
      </c>
      <c r="Y9" s="51">
        <v>4.25</v>
      </c>
    </row>
    <row r="10">
      <c r="A10" s="4" t="s">
        <v>141</v>
      </c>
      <c r="B10" s="4" t="s">
        <v>142</v>
      </c>
      <c r="C10" s="4" t="s">
        <v>68</v>
      </c>
      <c r="D10" s="4">
        <v>2025.0</v>
      </c>
      <c r="E10" s="4" t="s">
        <v>143</v>
      </c>
      <c r="F10" s="5" t="s">
        <v>144</v>
      </c>
      <c r="G10" s="4" t="s">
        <v>145</v>
      </c>
      <c r="H10" s="4" t="s">
        <v>146</v>
      </c>
      <c r="I10" s="4" t="s">
        <v>147</v>
      </c>
      <c r="J10" s="4" t="s">
        <v>148</v>
      </c>
      <c r="K10" s="4" t="s">
        <v>149</v>
      </c>
      <c r="L10" s="4" t="s">
        <v>150</v>
      </c>
      <c r="M10" s="4" t="s">
        <v>151</v>
      </c>
      <c r="N10" s="4" t="s">
        <v>152</v>
      </c>
      <c r="O10" s="4" t="s">
        <v>153</v>
      </c>
      <c r="P10" s="4" t="s">
        <v>154</v>
      </c>
      <c r="Q10" s="4" t="s">
        <v>155</v>
      </c>
      <c r="R10" s="4" t="s">
        <v>65</v>
      </c>
      <c r="S10" s="51">
        <v>3.0</v>
      </c>
      <c r="T10" s="51">
        <v>5.0</v>
      </c>
      <c r="U10" s="51">
        <v>5.0</v>
      </c>
      <c r="V10" s="51">
        <v>4.0</v>
      </c>
      <c r="W10" s="51">
        <v>5.0</v>
      </c>
      <c r="X10" s="51">
        <v>4.3</v>
      </c>
      <c r="Y10" s="51">
        <v>4.65</v>
      </c>
    </row>
    <row r="11">
      <c r="A11" s="4" t="s">
        <v>156</v>
      </c>
      <c r="B11" s="4" t="s">
        <v>157</v>
      </c>
      <c r="C11" s="4" t="s">
        <v>158</v>
      </c>
      <c r="D11" s="4">
        <v>2025.0</v>
      </c>
      <c r="E11" s="4" t="s">
        <v>159</v>
      </c>
      <c r="F11" s="6" t="s">
        <v>160</v>
      </c>
      <c r="G11" s="4" t="s">
        <v>161</v>
      </c>
      <c r="H11" s="4" t="s">
        <v>162</v>
      </c>
      <c r="I11" s="4" t="s">
        <v>163</v>
      </c>
      <c r="J11" s="4" t="s">
        <v>164</v>
      </c>
      <c r="K11" s="4" t="s">
        <v>165</v>
      </c>
      <c r="L11" s="4" t="s">
        <v>166</v>
      </c>
      <c r="M11" s="4" t="s">
        <v>29</v>
      </c>
      <c r="N11" s="4" t="s">
        <v>167</v>
      </c>
      <c r="O11" s="4" t="s">
        <v>168</v>
      </c>
      <c r="P11" s="4" t="s">
        <v>169</v>
      </c>
      <c r="Q11" s="4" t="s">
        <v>170</v>
      </c>
      <c r="R11" s="4" t="s">
        <v>96</v>
      </c>
      <c r="S11" s="51">
        <v>1.0</v>
      </c>
      <c r="T11" s="51">
        <v>5.0</v>
      </c>
      <c r="U11" s="51">
        <v>3.0</v>
      </c>
      <c r="V11" s="51">
        <v>5.0</v>
      </c>
      <c r="W11" s="51">
        <v>5.0</v>
      </c>
      <c r="X11" s="51">
        <v>3.6</v>
      </c>
      <c r="Y11" s="51">
        <v>4.1</v>
      </c>
    </row>
    <row r="12">
      <c r="A12" s="4" t="s">
        <v>171</v>
      </c>
      <c r="B12" s="4" t="s">
        <v>172</v>
      </c>
      <c r="C12" s="4" t="s">
        <v>173</v>
      </c>
      <c r="D12" s="4">
        <v>2024.0</v>
      </c>
      <c r="E12" s="4" t="s">
        <v>174</v>
      </c>
      <c r="F12" s="6" t="s">
        <v>175</v>
      </c>
      <c r="G12" s="4" t="s">
        <v>176</v>
      </c>
      <c r="H12" s="4" t="s">
        <v>177</v>
      </c>
      <c r="I12" s="4" t="s">
        <v>178</v>
      </c>
      <c r="J12" s="4" t="s">
        <v>179</v>
      </c>
      <c r="K12" s="4" t="s">
        <v>180</v>
      </c>
      <c r="L12" s="4" t="s">
        <v>181</v>
      </c>
      <c r="M12" s="4" t="s">
        <v>29</v>
      </c>
      <c r="N12" s="4" t="s">
        <v>182</v>
      </c>
      <c r="O12" s="4" t="s">
        <v>183</v>
      </c>
      <c r="P12" s="4" t="s">
        <v>184</v>
      </c>
      <c r="Q12" s="4" t="s">
        <v>185</v>
      </c>
      <c r="R12" s="4" t="s">
        <v>34</v>
      </c>
      <c r="S12" s="51">
        <v>4.0</v>
      </c>
      <c r="T12" s="51">
        <v>5.0</v>
      </c>
      <c r="U12" s="51">
        <v>3.0</v>
      </c>
      <c r="V12" s="51">
        <v>4.0</v>
      </c>
      <c r="W12" s="51">
        <v>5.0</v>
      </c>
      <c r="X12" s="51">
        <v>4.15</v>
      </c>
      <c r="Y12" s="51">
        <v>4.15</v>
      </c>
    </row>
    <row r="13">
      <c r="A13" s="4" t="s">
        <v>186</v>
      </c>
      <c r="B13" s="4" t="s">
        <v>187</v>
      </c>
      <c r="C13" s="4" t="s">
        <v>188</v>
      </c>
      <c r="D13" s="4">
        <v>2025.0</v>
      </c>
      <c r="E13" s="4" t="s">
        <v>189</v>
      </c>
      <c r="F13" s="6" t="s">
        <v>190</v>
      </c>
      <c r="G13" s="4" t="s">
        <v>191</v>
      </c>
      <c r="H13" s="4" t="s">
        <v>192</v>
      </c>
      <c r="I13" s="4" t="s">
        <v>193</v>
      </c>
      <c r="J13" s="4" t="s">
        <v>194</v>
      </c>
      <c r="K13" s="4" t="s">
        <v>195</v>
      </c>
      <c r="L13" s="4" t="s">
        <v>196</v>
      </c>
      <c r="M13" s="4" t="s">
        <v>29</v>
      </c>
      <c r="N13" s="4" t="s">
        <v>197</v>
      </c>
      <c r="O13" s="4" t="s">
        <v>198</v>
      </c>
      <c r="P13" s="4" t="s">
        <v>199</v>
      </c>
      <c r="Q13" s="4" t="s">
        <v>200</v>
      </c>
      <c r="R13" s="4" t="s">
        <v>34</v>
      </c>
      <c r="S13" s="51">
        <v>2.0</v>
      </c>
      <c r="T13" s="51">
        <v>5.0</v>
      </c>
      <c r="U13" s="51">
        <v>2.0</v>
      </c>
      <c r="V13" s="51">
        <v>4.0</v>
      </c>
      <c r="W13" s="51">
        <v>4.0</v>
      </c>
      <c r="X13" s="51">
        <v>3.35</v>
      </c>
      <c r="Y13" s="51">
        <v>3.5</v>
      </c>
    </row>
    <row r="14">
      <c r="A14" s="4" t="s">
        <v>201</v>
      </c>
      <c r="B14" s="4" t="s">
        <v>202</v>
      </c>
      <c r="C14" s="4" t="s">
        <v>203</v>
      </c>
      <c r="D14" s="4">
        <v>2024.0</v>
      </c>
      <c r="E14" s="4" t="s">
        <v>204</v>
      </c>
      <c r="F14" s="6" t="s">
        <v>205</v>
      </c>
      <c r="G14" s="4" t="s">
        <v>206</v>
      </c>
      <c r="H14" s="4" t="s">
        <v>207</v>
      </c>
      <c r="I14" s="4" t="s">
        <v>208</v>
      </c>
      <c r="J14" s="4" t="s">
        <v>209</v>
      </c>
      <c r="K14" s="4" t="s">
        <v>210</v>
      </c>
      <c r="L14" s="4" t="s">
        <v>211</v>
      </c>
      <c r="M14" s="4" t="s">
        <v>212</v>
      </c>
      <c r="N14" s="4" t="s">
        <v>213</v>
      </c>
      <c r="O14" s="4" t="s">
        <v>214</v>
      </c>
      <c r="P14" s="4" t="s">
        <v>215</v>
      </c>
      <c r="Q14" s="4" t="s">
        <v>216</v>
      </c>
      <c r="R14" s="4" t="s">
        <v>34</v>
      </c>
      <c r="S14" s="51">
        <v>2.0</v>
      </c>
      <c r="T14" s="51">
        <v>5.0</v>
      </c>
      <c r="U14" s="51">
        <v>3.0</v>
      </c>
      <c r="V14" s="51">
        <v>4.0</v>
      </c>
      <c r="W14" s="51">
        <v>3.0</v>
      </c>
      <c r="X14" s="51">
        <v>3.45</v>
      </c>
      <c r="Y14" s="51">
        <v>3.65</v>
      </c>
    </row>
    <row r="15">
      <c r="A15" s="4" t="s">
        <v>217</v>
      </c>
      <c r="B15" s="4" t="s">
        <v>218</v>
      </c>
      <c r="C15" s="4" t="s">
        <v>173</v>
      </c>
      <c r="D15" s="4">
        <v>2024.0</v>
      </c>
      <c r="E15" s="4" t="s">
        <v>219</v>
      </c>
      <c r="F15" s="6" t="s">
        <v>220</v>
      </c>
      <c r="G15" s="4" t="s">
        <v>221</v>
      </c>
      <c r="H15" s="4" t="s">
        <v>222</v>
      </c>
      <c r="I15" s="4" t="s">
        <v>223</v>
      </c>
      <c r="J15" s="4" t="s">
        <v>224</v>
      </c>
      <c r="K15" s="4" t="s">
        <v>225</v>
      </c>
      <c r="L15" s="4" t="s">
        <v>226</v>
      </c>
      <c r="M15" s="4" t="s">
        <v>29</v>
      </c>
      <c r="N15" s="4" t="s">
        <v>227</v>
      </c>
      <c r="O15" s="4" t="s">
        <v>228</v>
      </c>
      <c r="P15" s="4" t="s">
        <v>229</v>
      </c>
      <c r="Q15" s="4" t="s">
        <v>230</v>
      </c>
      <c r="R15" s="4" t="s">
        <v>34</v>
      </c>
      <c r="S15" s="51">
        <v>4.0</v>
      </c>
      <c r="T15" s="51">
        <v>5.0</v>
      </c>
      <c r="U15" s="51">
        <v>4.0</v>
      </c>
      <c r="V15" s="51">
        <v>4.0</v>
      </c>
      <c r="W15" s="51">
        <v>2.0</v>
      </c>
      <c r="X15" s="51">
        <v>4.05</v>
      </c>
      <c r="Y15" s="51">
        <v>4.1</v>
      </c>
    </row>
    <row r="16">
      <c r="A16" s="4" t="s">
        <v>231</v>
      </c>
      <c r="B16" s="4" t="s">
        <v>232</v>
      </c>
      <c r="C16" s="4" t="s">
        <v>233</v>
      </c>
      <c r="D16" s="4">
        <v>2025.0</v>
      </c>
      <c r="E16" s="4" t="s">
        <v>234</v>
      </c>
      <c r="F16" s="6" t="s">
        <v>232</v>
      </c>
      <c r="G16" s="4" t="s">
        <v>235</v>
      </c>
      <c r="H16" s="4" t="s">
        <v>236</v>
      </c>
      <c r="I16" s="4" t="s">
        <v>237</v>
      </c>
      <c r="J16" s="4" t="s">
        <v>238</v>
      </c>
      <c r="K16" s="4" t="s">
        <v>239</v>
      </c>
      <c r="L16" s="4" t="s">
        <v>240</v>
      </c>
      <c r="M16" s="4" t="s">
        <v>241</v>
      </c>
      <c r="N16" s="4" t="s">
        <v>242</v>
      </c>
      <c r="O16" s="4" t="s">
        <v>243</v>
      </c>
      <c r="P16" s="4" t="s">
        <v>244</v>
      </c>
      <c r="Q16" s="4" t="s">
        <v>245</v>
      </c>
      <c r="R16" s="4" t="s">
        <v>34</v>
      </c>
      <c r="S16" s="51">
        <v>2.0</v>
      </c>
      <c r="T16" s="51">
        <v>5.0</v>
      </c>
      <c r="U16" s="51">
        <v>4.0</v>
      </c>
      <c r="V16" s="51">
        <v>4.0</v>
      </c>
      <c r="W16" s="51">
        <v>2.0</v>
      </c>
      <c r="X16" s="51">
        <v>3.55</v>
      </c>
      <c r="Y16" s="51">
        <v>3.8</v>
      </c>
    </row>
    <row r="17">
      <c r="A17" s="4" t="s">
        <v>246</v>
      </c>
      <c r="B17" s="4" t="s">
        <v>247</v>
      </c>
      <c r="C17" s="4" t="s">
        <v>248</v>
      </c>
      <c r="D17" s="4">
        <v>2021.0</v>
      </c>
      <c r="E17" s="4" t="s">
        <v>249</v>
      </c>
      <c r="F17" s="6" t="s">
        <v>247</v>
      </c>
      <c r="G17" s="4" t="s">
        <v>250</v>
      </c>
      <c r="H17" s="4" t="s">
        <v>251</v>
      </c>
      <c r="I17" s="4" t="s">
        <v>252</v>
      </c>
      <c r="J17" s="4" t="s">
        <v>253</v>
      </c>
      <c r="K17" s="4" t="s">
        <v>254</v>
      </c>
      <c r="L17" s="4" t="s">
        <v>255</v>
      </c>
      <c r="M17" s="4" t="s">
        <v>29</v>
      </c>
      <c r="N17" s="4" t="s">
        <v>256</v>
      </c>
      <c r="O17" s="4" t="s">
        <v>257</v>
      </c>
      <c r="P17" s="4" t="s">
        <v>258</v>
      </c>
      <c r="Q17" s="4" t="s">
        <v>259</v>
      </c>
      <c r="R17" s="4" t="s">
        <v>34</v>
      </c>
      <c r="S17" s="51">
        <v>5.0</v>
      </c>
      <c r="T17" s="51">
        <v>5.0</v>
      </c>
      <c r="U17" s="51">
        <v>4.0</v>
      </c>
      <c r="V17" s="51">
        <v>4.0</v>
      </c>
      <c r="W17" s="51">
        <v>3.0</v>
      </c>
      <c r="X17" s="51">
        <v>4.4</v>
      </c>
      <c r="Y17" s="51">
        <v>4.35</v>
      </c>
    </row>
    <row r="18">
      <c r="A18" s="4" t="s">
        <v>260</v>
      </c>
      <c r="B18" s="4" t="s">
        <v>261</v>
      </c>
      <c r="C18" s="4" t="s">
        <v>262</v>
      </c>
      <c r="D18" s="4">
        <v>2025.0</v>
      </c>
      <c r="E18" s="4" t="s">
        <v>263</v>
      </c>
      <c r="F18" s="6" t="s">
        <v>264</v>
      </c>
      <c r="G18" s="4" t="s">
        <v>265</v>
      </c>
      <c r="H18" s="4" t="s">
        <v>266</v>
      </c>
      <c r="I18" s="4" t="s">
        <v>267</v>
      </c>
      <c r="J18" s="4" t="s">
        <v>268</v>
      </c>
      <c r="K18" s="4" t="s">
        <v>269</v>
      </c>
      <c r="L18" s="4" t="s">
        <v>270</v>
      </c>
      <c r="M18" s="4" t="s">
        <v>271</v>
      </c>
      <c r="N18" s="4" t="s">
        <v>272</v>
      </c>
      <c r="O18" s="4" t="s">
        <v>273</v>
      </c>
      <c r="P18" s="4" t="s">
        <v>274</v>
      </c>
      <c r="Q18" s="4" t="s">
        <v>275</v>
      </c>
      <c r="R18" s="4" t="s">
        <v>785</v>
      </c>
      <c r="S18" s="51">
        <v>1.0</v>
      </c>
      <c r="T18" s="51">
        <v>5.0</v>
      </c>
      <c r="U18" s="51">
        <v>3.0</v>
      </c>
      <c r="V18" s="51">
        <v>4.0</v>
      </c>
      <c r="W18" s="51">
        <v>5.0</v>
      </c>
      <c r="X18" s="51">
        <v>3.4</v>
      </c>
      <c r="Y18" s="51">
        <v>3.7</v>
      </c>
    </row>
    <row r="19">
      <c r="A19" s="4" t="s">
        <v>277</v>
      </c>
      <c r="B19" s="4" t="s">
        <v>278</v>
      </c>
      <c r="C19" s="4" t="s">
        <v>279</v>
      </c>
      <c r="D19" s="4">
        <v>2025.0</v>
      </c>
      <c r="E19" s="4" t="s">
        <v>280</v>
      </c>
      <c r="F19" s="6" t="s">
        <v>281</v>
      </c>
      <c r="G19" s="4" t="s">
        <v>282</v>
      </c>
      <c r="H19" s="4" t="s">
        <v>283</v>
      </c>
      <c r="I19" s="4" t="s">
        <v>284</v>
      </c>
      <c r="J19" s="4" t="s">
        <v>285</v>
      </c>
      <c r="K19" s="4" t="s">
        <v>286</v>
      </c>
      <c r="L19" s="4" t="s">
        <v>287</v>
      </c>
      <c r="M19" s="4" t="s">
        <v>29</v>
      </c>
      <c r="N19" s="4" t="s">
        <v>288</v>
      </c>
      <c r="O19" s="4" t="s">
        <v>289</v>
      </c>
      <c r="P19" s="4" t="s">
        <v>290</v>
      </c>
      <c r="Q19" s="4" t="s">
        <v>291</v>
      </c>
      <c r="R19" s="4" t="s">
        <v>786</v>
      </c>
      <c r="S19" s="51">
        <v>2.0</v>
      </c>
      <c r="T19" s="51">
        <v>4.0</v>
      </c>
      <c r="U19" s="51">
        <v>4.0</v>
      </c>
      <c r="V19" s="51">
        <v>4.0</v>
      </c>
      <c r="W19" s="51">
        <v>5.0</v>
      </c>
      <c r="X19" s="51">
        <v>3.6</v>
      </c>
      <c r="Y19" s="51">
        <v>3.8</v>
      </c>
    </row>
    <row r="20">
      <c r="A20" s="4" t="s">
        <v>293</v>
      </c>
      <c r="B20" s="4" t="s">
        <v>294</v>
      </c>
      <c r="C20" s="4" t="s">
        <v>295</v>
      </c>
      <c r="D20" s="4">
        <v>2025.0</v>
      </c>
      <c r="E20" s="4" t="s">
        <v>296</v>
      </c>
      <c r="F20" s="10" t="s">
        <v>297</v>
      </c>
      <c r="G20" s="4" t="s">
        <v>298</v>
      </c>
      <c r="H20" s="4" t="s">
        <v>299</v>
      </c>
      <c r="I20" s="4" t="s">
        <v>300</v>
      </c>
      <c r="J20" s="4" t="s">
        <v>301</v>
      </c>
      <c r="K20" s="4" t="s">
        <v>302</v>
      </c>
      <c r="L20" s="4" t="s">
        <v>303</v>
      </c>
      <c r="M20" s="4" t="s">
        <v>29</v>
      </c>
      <c r="N20" s="4" t="s">
        <v>304</v>
      </c>
      <c r="O20" s="4" t="s">
        <v>305</v>
      </c>
      <c r="P20" s="4" t="s">
        <v>306</v>
      </c>
      <c r="Q20" s="4" t="s">
        <v>307</v>
      </c>
      <c r="R20" s="4" t="s">
        <v>308</v>
      </c>
      <c r="S20" s="51">
        <v>1.0</v>
      </c>
      <c r="T20" s="51">
        <v>5.0</v>
      </c>
      <c r="U20" s="51">
        <v>4.0</v>
      </c>
      <c r="V20" s="51">
        <v>3.0</v>
      </c>
      <c r="W20" s="51">
        <v>4.0</v>
      </c>
      <c r="X20" s="51">
        <v>3.3</v>
      </c>
      <c r="Y20" s="51">
        <v>3.65</v>
      </c>
    </row>
    <row r="21">
      <c r="A21" s="4" t="s">
        <v>309</v>
      </c>
      <c r="B21" s="4" t="s">
        <v>310</v>
      </c>
      <c r="C21" s="4" t="s">
        <v>311</v>
      </c>
      <c r="D21" s="4">
        <v>2024.0</v>
      </c>
      <c r="E21" s="4" t="s">
        <v>312</v>
      </c>
      <c r="F21" s="10" t="s">
        <v>313</v>
      </c>
      <c r="G21" s="4" t="s">
        <v>314</v>
      </c>
      <c r="H21" s="4" t="s">
        <v>315</v>
      </c>
      <c r="I21" s="4" t="s">
        <v>316</v>
      </c>
      <c r="J21" s="4" t="s">
        <v>317</v>
      </c>
      <c r="K21" s="4" t="s">
        <v>318</v>
      </c>
      <c r="L21" s="4" t="s">
        <v>319</v>
      </c>
      <c r="M21" s="4" t="s">
        <v>29</v>
      </c>
      <c r="N21" s="4" t="s">
        <v>320</v>
      </c>
      <c r="O21" s="4" t="s">
        <v>321</v>
      </c>
      <c r="P21" s="4" t="s">
        <v>322</v>
      </c>
      <c r="Q21" s="4" t="s">
        <v>323</v>
      </c>
      <c r="R21" s="4" t="s">
        <v>96</v>
      </c>
      <c r="S21" s="51">
        <v>4.0</v>
      </c>
      <c r="T21" s="51">
        <v>5.0</v>
      </c>
      <c r="U21" s="51">
        <v>5.0</v>
      </c>
      <c r="V21" s="51">
        <v>5.0</v>
      </c>
      <c r="W21" s="51">
        <v>5.0</v>
      </c>
      <c r="X21" s="51">
        <v>4.75</v>
      </c>
      <c r="Y21" s="51">
        <v>4.9</v>
      </c>
    </row>
    <row r="22">
      <c r="A22" s="4" t="s">
        <v>324</v>
      </c>
      <c r="B22" s="4" t="s">
        <v>325</v>
      </c>
      <c r="C22" s="4" t="s">
        <v>311</v>
      </c>
      <c r="D22" s="4">
        <v>2025.0</v>
      </c>
      <c r="E22" s="4" t="s">
        <v>326</v>
      </c>
      <c r="F22" s="6" t="s">
        <v>327</v>
      </c>
      <c r="G22" s="4" t="s">
        <v>328</v>
      </c>
      <c r="H22" s="4" t="s">
        <v>329</v>
      </c>
      <c r="I22" s="4" t="s">
        <v>330</v>
      </c>
      <c r="J22" s="4" t="s">
        <v>331</v>
      </c>
      <c r="K22" s="4" t="s">
        <v>332</v>
      </c>
      <c r="L22" s="4" t="s">
        <v>333</v>
      </c>
      <c r="M22" s="4" t="s">
        <v>29</v>
      </c>
      <c r="N22" s="4" t="s">
        <v>334</v>
      </c>
      <c r="O22" s="4" t="s">
        <v>335</v>
      </c>
      <c r="P22" s="4" t="s">
        <v>336</v>
      </c>
      <c r="Q22" s="4" t="s">
        <v>337</v>
      </c>
      <c r="R22" s="4" t="s">
        <v>338</v>
      </c>
      <c r="S22" s="51">
        <v>4.0</v>
      </c>
      <c r="T22" s="51">
        <v>5.0</v>
      </c>
      <c r="U22" s="51">
        <v>5.0</v>
      </c>
      <c r="V22" s="51">
        <v>2.0</v>
      </c>
      <c r="W22" s="51">
        <v>5.0</v>
      </c>
      <c r="X22" s="51">
        <v>4.15</v>
      </c>
      <c r="Y22" s="51">
        <v>4.5</v>
      </c>
    </row>
    <row r="23">
      <c r="A23" s="4" t="s">
        <v>339</v>
      </c>
      <c r="B23" s="4" t="s">
        <v>340</v>
      </c>
      <c r="C23" s="4" t="s">
        <v>341</v>
      </c>
      <c r="D23" s="4">
        <v>2025.0</v>
      </c>
      <c r="E23" s="4" t="s">
        <v>342</v>
      </c>
      <c r="F23" s="6" t="s">
        <v>340</v>
      </c>
      <c r="G23" s="4" t="s">
        <v>343</v>
      </c>
      <c r="H23" s="4" t="s">
        <v>344</v>
      </c>
      <c r="I23" s="4" t="s">
        <v>345</v>
      </c>
      <c r="J23" s="4" t="s">
        <v>346</v>
      </c>
      <c r="K23" s="4" t="s">
        <v>347</v>
      </c>
      <c r="L23" s="4" t="s">
        <v>348</v>
      </c>
      <c r="M23" s="4" t="s">
        <v>29</v>
      </c>
      <c r="N23" s="4" t="s">
        <v>349</v>
      </c>
      <c r="O23" s="4" t="s">
        <v>350</v>
      </c>
      <c r="P23" s="4" t="s">
        <v>351</v>
      </c>
      <c r="Q23" s="4" t="s">
        <v>352</v>
      </c>
      <c r="R23" s="4" t="s">
        <v>787</v>
      </c>
      <c r="S23" s="51">
        <v>3.0</v>
      </c>
      <c r="T23" s="51">
        <v>5.0</v>
      </c>
      <c r="U23" s="51">
        <v>3.0</v>
      </c>
      <c r="V23" s="51">
        <v>4.0</v>
      </c>
      <c r="W23" s="51">
        <v>5.0</v>
      </c>
      <c r="X23" s="51">
        <v>3.9</v>
      </c>
      <c r="Y23" s="51">
        <v>4.15</v>
      </c>
    </row>
    <row r="24">
      <c r="A24" s="4" t="s">
        <v>353</v>
      </c>
      <c r="B24" s="4" t="s">
        <v>354</v>
      </c>
      <c r="C24" s="4" t="s">
        <v>355</v>
      </c>
      <c r="D24" s="4">
        <v>2025.0</v>
      </c>
      <c r="E24" s="4" t="s">
        <v>356</v>
      </c>
      <c r="F24" s="6" t="s">
        <v>357</v>
      </c>
      <c r="G24" s="4" t="s">
        <v>358</v>
      </c>
      <c r="H24" s="4" t="s">
        <v>359</v>
      </c>
      <c r="I24" s="4" t="s">
        <v>360</v>
      </c>
      <c r="J24" s="4" t="s">
        <v>361</v>
      </c>
      <c r="K24" s="4" t="s">
        <v>362</v>
      </c>
      <c r="L24" s="4" t="s">
        <v>363</v>
      </c>
      <c r="M24" s="4" t="s">
        <v>29</v>
      </c>
      <c r="N24" s="4" t="s">
        <v>364</v>
      </c>
      <c r="O24" s="4" t="s">
        <v>365</v>
      </c>
      <c r="P24" s="4" t="s">
        <v>366</v>
      </c>
      <c r="Q24" s="4" t="s">
        <v>367</v>
      </c>
      <c r="R24" s="4" t="s">
        <v>65</v>
      </c>
      <c r="S24" s="51">
        <v>1.0</v>
      </c>
      <c r="T24" s="51">
        <v>5.0</v>
      </c>
      <c r="U24" s="51">
        <v>5.0</v>
      </c>
      <c r="V24" s="51">
        <v>4.0</v>
      </c>
      <c r="W24" s="51">
        <v>5.0</v>
      </c>
      <c r="X24" s="51">
        <v>3.8</v>
      </c>
      <c r="Y24" s="51">
        <v>4.45</v>
      </c>
    </row>
    <row r="25">
      <c r="A25" s="4" t="s">
        <v>368</v>
      </c>
      <c r="B25" s="4" t="s">
        <v>369</v>
      </c>
      <c r="C25" s="4" t="s">
        <v>311</v>
      </c>
      <c r="D25" s="4">
        <v>2025.0</v>
      </c>
      <c r="E25" s="4" t="s">
        <v>370</v>
      </c>
      <c r="F25" s="6" t="s">
        <v>371</v>
      </c>
      <c r="G25" s="4" t="s">
        <v>372</v>
      </c>
      <c r="H25" s="4" t="s">
        <v>373</v>
      </c>
      <c r="I25" s="4" t="s">
        <v>374</v>
      </c>
      <c r="J25" s="4" t="s">
        <v>375</v>
      </c>
      <c r="K25" s="4" t="s">
        <v>376</v>
      </c>
      <c r="L25" s="4" t="s">
        <v>377</v>
      </c>
      <c r="M25" s="4" t="s">
        <v>29</v>
      </c>
      <c r="N25" s="4" t="s">
        <v>378</v>
      </c>
      <c r="O25" s="4" t="s">
        <v>379</v>
      </c>
      <c r="P25" s="4" t="s">
        <v>380</v>
      </c>
      <c r="Q25" s="4" t="s">
        <v>381</v>
      </c>
      <c r="R25" s="4" t="s">
        <v>65</v>
      </c>
      <c r="S25" s="51">
        <v>4.0</v>
      </c>
      <c r="T25" s="51">
        <v>3.0</v>
      </c>
      <c r="U25" s="51">
        <v>2.0</v>
      </c>
      <c r="V25" s="51">
        <v>4.0</v>
      </c>
      <c r="W25" s="51">
        <v>2.0</v>
      </c>
      <c r="X25" s="51">
        <v>3.15</v>
      </c>
      <c r="Y25" s="51">
        <v>2.8</v>
      </c>
    </row>
    <row r="26">
      <c r="A26" s="4" t="s">
        <v>382</v>
      </c>
      <c r="B26" s="4" t="s">
        <v>383</v>
      </c>
      <c r="C26" s="4" t="s">
        <v>311</v>
      </c>
      <c r="D26" s="4">
        <v>2025.0</v>
      </c>
      <c r="E26" s="4" t="s">
        <v>384</v>
      </c>
      <c r="F26" s="6" t="s">
        <v>385</v>
      </c>
      <c r="G26" s="4" t="s">
        <v>386</v>
      </c>
      <c r="H26" s="4" t="s">
        <v>387</v>
      </c>
      <c r="I26" s="4" t="s">
        <v>388</v>
      </c>
      <c r="J26" s="4" t="s">
        <v>389</v>
      </c>
      <c r="K26" s="4" t="s">
        <v>390</v>
      </c>
      <c r="L26" s="4" t="s">
        <v>391</v>
      </c>
      <c r="M26" s="4" t="s">
        <v>29</v>
      </c>
      <c r="N26" s="4" t="s">
        <v>392</v>
      </c>
      <c r="O26" s="4" t="s">
        <v>393</v>
      </c>
      <c r="P26" s="4" t="s">
        <v>394</v>
      </c>
      <c r="Q26" s="4" t="s">
        <v>395</v>
      </c>
      <c r="R26" s="4" t="s">
        <v>787</v>
      </c>
      <c r="S26" s="51">
        <v>4.0</v>
      </c>
      <c r="T26" s="51">
        <v>4.0</v>
      </c>
      <c r="U26" s="51">
        <v>3.0</v>
      </c>
      <c r="V26" s="51">
        <v>4.0</v>
      </c>
      <c r="W26" s="51">
        <v>2.0</v>
      </c>
      <c r="X26" s="51">
        <v>3.6</v>
      </c>
      <c r="Y26" s="51">
        <v>3.35</v>
      </c>
    </row>
    <row r="27">
      <c r="A27" s="4" t="s">
        <v>397</v>
      </c>
      <c r="B27" s="4" t="s">
        <v>398</v>
      </c>
      <c r="C27" s="4" t="s">
        <v>311</v>
      </c>
      <c r="D27" s="4">
        <v>2024.0</v>
      </c>
      <c r="E27" s="4" t="s">
        <v>399</v>
      </c>
      <c r="F27" s="6" t="s">
        <v>400</v>
      </c>
      <c r="G27" s="4" t="s">
        <v>401</v>
      </c>
      <c r="H27" s="4" t="s">
        <v>402</v>
      </c>
      <c r="I27" s="4" t="s">
        <v>403</v>
      </c>
      <c r="J27" s="4" t="s">
        <v>404</v>
      </c>
      <c r="K27" s="4" t="s">
        <v>405</v>
      </c>
      <c r="L27" s="4" t="s">
        <v>406</v>
      </c>
      <c r="M27" s="4" t="s">
        <v>29</v>
      </c>
      <c r="N27" s="4" t="s">
        <v>407</v>
      </c>
      <c r="O27" s="4" t="s">
        <v>408</v>
      </c>
      <c r="P27" s="4" t="s">
        <v>409</v>
      </c>
      <c r="Q27" s="4" t="s">
        <v>410</v>
      </c>
      <c r="R27" s="4" t="s">
        <v>65</v>
      </c>
      <c r="S27" s="51">
        <v>4.0</v>
      </c>
      <c r="T27" s="51">
        <v>5.0</v>
      </c>
      <c r="U27" s="51">
        <v>3.0</v>
      </c>
      <c r="V27" s="51">
        <v>4.0</v>
      </c>
      <c r="W27" s="51">
        <v>3.0</v>
      </c>
      <c r="X27" s="51">
        <v>3.95</v>
      </c>
      <c r="Y27" s="51">
        <v>3.85</v>
      </c>
    </row>
    <row r="28">
      <c r="A28" s="4" t="s">
        <v>411</v>
      </c>
      <c r="B28" s="4" t="s">
        <v>412</v>
      </c>
      <c r="C28" s="4" t="s">
        <v>413</v>
      </c>
      <c r="D28" s="4">
        <v>2025.0</v>
      </c>
      <c r="E28" s="4" t="s">
        <v>414</v>
      </c>
      <c r="F28" s="6" t="s">
        <v>415</v>
      </c>
      <c r="G28" s="4" t="s">
        <v>416</v>
      </c>
      <c r="H28" s="4" t="s">
        <v>417</v>
      </c>
      <c r="I28" s="4" t="s">
        <v>418</v>
      </c>
      <c r="J28" s="4" t="s">
        <v>419</v>
      </c>
      <c r="K28" s="4" t="s">
        <v>420</v>
      </c>
      <c r="L28" s="4" t="s">
        <v>421</v>
      </c>
      <c r="M28" s="4" t="s">
        <v>29</v>
      </c>
      <c r="N28" s="4" t="s">
        <v>422</v>
      </c>
      <c r="O28" s="4" t="s">
        <v>423</v>
      </c>
      <c r="P28" s="4" t="s">
        <v>424</v>
      </c>
      <c r="Q28" s="4" t="s">
        <v>425</v>
      </c>
      <c r="R28" s="4" t="s">
        <v>787</v>
      </c>
      <c r="S28" s="51">
        <v>1.0</v>
      </c>
      <c r="T28" s="51">
        <v>5.0</v>
      </c>
      <c r="U28" s="51">
        <v>4.0</v>
      </c>
      <c r="V28" s="51">
        <v>4.0</v>
      </c>
      <c r="W28" s="51">
        <v>2.0</v>
      </c>
      <c r="X28" s="51">
        <v>3.3</v>
      </c>
      <c r="Y28" s="51">
        <v>3.6</v>
      </c>
    </row>
    <row r="29">
      <c r="A29" s="4" t="s">
        <v>427</v>
      </c>
      <c r="B29" s="4" t="s">
        <v>428</v>
      </c>
      <c r="C29" s="4" t="s">
        <v>429</v>
      </c>
      <c r="D29" s="4">
        <v>2024.0</v>
      </c>
      <c r="E29" s="4" t="s">
        <v>430</v>
      </c>
      <c r="F29" s="6" t="s">
        <v>428</v>
      </c>
      <c r="G29" s="4" t="s">
        <v>431</v>
      </c>
      <c r="H29" s="4" t="s">
        <v>432</v>
      </c>
      <c r="I29" s="4" t="s">
        <v>433</v>
      </c>
      <c r="J29" s="4" t="s">
        <v>434</v>
      </c>
      <c r="K29" s="4" t="s">
        <v>435</v>
      </c>
      <c r="L29" s="4" t="s">
        <v>436</v>
      </c>
      <c r="M29" s="4" t="s">
        <v>29</v>
      </c>
      <c r="N29" s="4" t="s">
        <v>437</v>
      </c>
      <c r="O29" s="4" t="s">
        <v>438</v>
      </c>
      <c r="P29" s="4" t="s">
        <v>439</v>
      </c>
      <c r="Q29" s="4" t="s">
        <v>440</v>
      </c>
      <c r="R29" s="4" t="s">
        <v>65</v>
      </c>
      <c r="S29" s="51">
        <v>3.0</v>
      </c>
      <c r="T29" s="51">
        <v>4.0</v>
      </c>
      <c r="U29" s="51">
        <v>4.0</v>
      </c>
      <c r="V29" s="51">
        <v>4.0</v>
      </c>
      <c r="W29" s="51">
        <v>2.0</v>
      </c>
      <c r="X29" s="51">
        <v>3.55</v>
      </c>
      <c r="Y29" s="51">
        <v>3.5</v>
      </c>
    </row>
    <row r="30">
      <c r="A30" s="4" t="s">
        <v>441</v>
      </c>
      <c r="B30" s="4" t="s">
        <v>442</v>
      </c>
      <c r="C30" s="4" t="s">
        <v>443</v>
      </c>
      <c r="D30" s="4">
        <v>2025.0</v>
      </c>
      <c r="E30" s="4" t="s">
        <v>444</v>
      </c>
      <c r="F30" s="6" t="s">
        <v>445</v>
      </c>
      <c r="G30" s="4" t="s">
        <v>446</v>
      </c>
      <c r="H30" s="4" t="s">
        <v>447</v>
      </c>
      <c r="I30" s="4" t="s">
        <v>448</v>
      </c>
      <c r="J30" s="4" t="s">
        <v>449</v>
      </c>
      <c r="K30" s="4" t="s">
        <v>450</v>
      </c>
      <c r="L30" s="4" t="s">
        <v>451</v>
      </c>
      <c r="M30" s="4" t="s">
        <v>29</v>
      </c>
      <c r="N30" s="4" t="s">
        <v>452</v>
      </c>
      <c r="O30" s="4" t="s">
        <v>453</v>
      </c>
      <c r="P30" s="4" t="s">
        <v>454</v>
      </c>
      <c r="Q30" s="4" t="s">
        <v>455</v>
      </c>
      <c r="R30" s="4" t="s">
        <v>787</v>
      </c>
      <c r="S30" s="51">
        <v>1.0</v>
      </c>
      <c r="T30" s="51">
        <v>5.0</v>
      </c>
      <c r="U30" s="51">
        <v>3.0</v>
      </c>
      <c r="V30" s="51">
        <v>4.0</v>
      </c>
      <c r="W30" s="51">
        <v>5.0</v>
      </c>
      <c r="X30" s="51">
        <v>3.4</v>
      </c>
      <c r="Y30" s="51">
        <v>3.95</v>
      </c>
    </row>
    <row r="31">
      <c r="A31" s="4" t="s">
        <v>456</v>
      </c>
      <c r="B31" s="4" t="s">
        <v>457</v>
      </c>
      <c r="C31" s="4" t="s">
        <v>458</v>
      </c>
      <c r="D31" s="4">
        <v>2024.0</v>
      </c>
      <c r="E31" s="4" t="s">
        <v>459</v>
      </c>
      <c r="F31" s="6" t="s">
        <v>457</v>
      </c>
      <c r="G31" s="4" t="s">
        <v>460</v>
      </c>
      <c r="H31" s="4" t="s">
        <v>461</v>
      </c>
      <c r="I31" s="4" t="s">
        <v>462</v>
      </c>
      <c r="J31" s="4" t="s">
        <v>463</v>
      </c>
      <c r="K31" s="4" t="s">
        <v>464</v>
      </c>
      <c r="L31" s="4" t="s">
        <v>465</v>
      </c>
      <c r="M31" s="4" t="s">
        <v>466</v>
      </c>
      <c r="N31" s="4" t="s">
        <v>467</v>
      </c>
      <c r="O31" s="4" t="s">
        <v>468</v>
      </c>
      <c r="P31" s="4" t="s">
        <v>469</v>
      </c>
      <c r="Q31" s="4" t="s">
        <v>470</v>
      </c>
      <c r="R31" s="4" t="s">
        <v>788</v>
      </c>
      <c r="S31" s="51">
        <v>1.0</v>
      </c>
      <c r="T31" s="51">
        <v>4.0</v>
      </c>
      <c r="U31" s="51">
        <v>3.0</v>
      </c>
      <c r="V31" s="51">
        <v>4.0</v>
      </c>
      <c r="W31" s="51">
        <v>3.0</v>
      </c>
      <c r="X31" s="51">
        <v>2.95</v>
      </c>
      <c r="Y31" s="51">
        <v>3.25</v>
      </c>
    </row>
    <row r="32">
      <c r="A32" s="4" t="s">
        <v>472</v>
      </c>
      <c r="B32" s="4" t="s">
        <v>473</v>
      </c>
      <c r="C32" s="4" t="s">
        <v>474</v>
      </c>
      <c r="D32" s="4">
        <v>2025.0</v>
      </c>
      <c r="E32" s="4" t="s">
        <v>475</v>
      </c>
      <c r="F32" s="6" t="s">
        <v>476</v>
      </c>
      <c r="G32" s="4" t="s">
        <v>477</v>
      </c>
      <c r="H32" s="4" t="s">
        <v>478</v>
      </c>
      <c r="I32" s="4" t="s">
        <v>479</v>
      </c>
      <c r="J32" s="4" t="s">
        <v>480</v>
      </c>
      <c r="K32" s="4" t="s">
        <v>481</v>
      </c>
      <c r="L32" s="4" t="s">
        <v>482</v>
      </c>
      <c r="M32" s="4" t="s">
        <v>29</v>
      </c>
      <c r="N32" s="4" t="s">
        <v>483</v>
      </c>
      <c r="O32" s="4" t="s">
        <v>484</v>
      </c>
      <c r="P32" s="4" t="s">
        <v>485</v>
      </c>
      <c r="Q32" s="4" t="s">
        <v>486</v>
      </c>
      <c r="R32" s="4" t="s">
        <v>34</v>
      </c>
      <c r="S32" s="51">
        <v>4.0</v>
      </c>
      <c r="T32" s="51">
        <v>5.0</v>
      </c>
      <c r="U32" s="51">
        <v>3.0</v>
      </c>
      <c r="V32" s="51">
        <v>4.0</v>
      </c>
      <c r="W32" s="51">
        <v>5.0</v>
      </c>
      <c r="X32" s="51">
        <v>4.15</v>
      </c>
      <c r="Y32" s="51">
        <v>4.15</v>
      </c>
    </row>
    <row r="33">
      <c r="A33" s="4" t="s">
        <v>487</v>
      </c>
      <c r="B33" s="4" t="s">
        <v>488</v>
      </c>
      <c r="C33" s="4" t="s">
        <v>489</v>
      </c>
      <c r="D33" s="4">
        <v>2025.0</v>
      </c>
      <c r="E33" s="4" t="s">
        <v>490</v>
      </c>
      <c r="F33" s="6" t="s">
        <v>491</v>
      </c>
      <c r="G33" s="4" t="s">
        <v>492</v>
      </c>
      <c r="H33" s="4" t="s">
        <v>493</v>
      </c>
      <c r="I33" s="4" t="s">
        <v>494</v>
      </c>
      <c r="J33" s="4" t="s">
        <v>495</v>
      </c>
      <c r="K33" s="4" t="s">
        <v>496</v>
      </c>
      <c r="L33" s="4" t="s">
        <v>497</v>
      </c>
      <c r="M33" s="4" t="s">
        <v>29</v>
      </c>
      <c r="N33" s="4" t="s">
        <v>498</v>
      </c>
      <c r="O33" s="4" t="s">
        <v>499</v>
      </c>
      <c r="P33" s="4" t="s">
        <v>500</v>
      </c>
      <c r="Q33" s="4" t="s">
        <v>501</v>
      </c>
      <c r="R33" s="4" t="s">
        <v>308</v>
      </c>
      <c r="S33" s="51">
        <v>3.0</v>
      </c>
      <c r="T33" s="51">
        <v>5.0</v>
      </c>
      <c r="U33" s="51">
        <v>2.0</v>
      </c>
      <c r="V33" s="51">
        <v>3.0</v>
      </c>
      <c r="W33" s="51">
        <v>2.0</v>
      </c>
      <c r="X33" s="51">
        <v>3.2</v>
      </c>
      <c r="Y33" s="51">
        <v>3.25</v>
      </c>
    </row>
    <row r="34">
      <c r="A34" s="4" t="s">
        <v>502</v>
      </c>
      <c r="B34" s="4" t="s">
        <v>503</v>
      </c>
      <c r="C34" s="4" t="s">
        <v>504</v>
      </c>
      <c r="D34" s="4" t="s">
        <v>789</v>
      </c>
      <c r="E34" s="4" t="s">
        <v>790</v>
      </c>
      <c r="F34" s="14" t="s">
        <v>506</v>
      </c>
      <c r="G34" s="4" t="s">
        <v>507</v>
      </c>
      <c r="H34" s="4" t="s">
        <v>508</v>
      </c>
      <c r="I34" s="4" t="s">
        <v>509</v>
      </c>
      <c r="J34" s="4" t="s">
        <v>510</v>
      </c>
      <c r="K34" s="4" t="s">
        <v>511</v>
      </c>
      <c r="L34" s="4" t="s">
        <v>512</v>
      </c>
      <c r="M34" s="4" t="s">
        <v>29</v>
      </c>
      <c r="N34" s="4" t="s">
        <v>513</v>
      </c>
      <c r="O34" s="4" t="s">
        <v>514</v>
      </c>
      <c r="P34" s="4" t="s">
        <v>515</v>
      </c>
      <c r="Q34" s="4" t="s">
        <v>516</v>
      </c>
      <c r="R34" s="4" t="s">
        <v>34</v>
      </c>
      <c r="S34" s="51">
        <v>1.0</v>
      </c>
      <c r="T34" s="51">
        <v>5.0</v>
      </c>
      <c r="U34" s="51">
        <v>4.0</v>
      </c>
      <c r="V34" s="51">
        <v>4.0</v>
      </c>
      <c r="W34" s="51">
        <v>4.0</v>
      </c>
      <c r="X34" s="51">
        <v>3.5</v>
      </c>
      <c r="Y34" s="51">
        <v>3.85</v>
      </c>
    </row>
    <row r="35">
      <c r="A35" s="4" t="s">
        <v>517</v>
      </c>
      <c r="B35" s="4" t="s">
        <v>518</v>
      </c>
      <c r="C35" s="4" t="s">
        <v>519</v>
      </c>
      <c r="D35" s="4">
        <v>2024.0</v>
      </c>
      <c r="E35" s="4" t="s">
        <v>520</v>
      </c>
      <c r="F35" s="14" t="s">
        <v>521</v>
      </c>
      <c r="G35" s="4" t="s">
        <v>522</v>
      </c>
      <c r="H35" s="4" t="s">
        <v>523</v>
      </c>
      <c r="I35" s="4" t="s">
        <v>524</v>
      </c>
      <c r="J35" s="4" t="s">
        <v>525</v>
      </c>
      <c r="K35" s="4" t="s">
        <v>526</v>
      </c>
      <c r="L35" s="4" t="s">
        <v>527</v>
      </c>
      <c r="M35" s="4" t="s">
        <v>29</v>
      </c>
      <c r="N35" s="4" t="s">
        <v>528</v>
      </c>
      <c r="O35" s="4" t="s">
        <v>529</v>
      </c>
      <c r="P35" s="4" t="s">
        <v>530</v>
      </c>
      <c r="Q35" s="4" t="s">
        <v>531</v>
      </c>
      <c r="R35" s="4" t="s">
        <v>34</v>
      </c>
      <c r="S35" s="51">
        <v>3.0</v>
      </c>
      <c r="T35" s="51">
        <v>5.0</v>
      </c>
      <c r="U35" s="51">
        <v>5.0</v>
      </c>
      <c r="V35" s="51">
        <v>4.0</v>
      </c>
      <c r="W35" s="51">
        <v>2.0</v>
      </c>
      <c r="X35" s="51">
        <v>4.0</v>
      </c>
      <c r="Y35" s="51">
        <v>4.2</v>
      </c>
    </row>
    <row r="36">
      <c r="A36" s="4" t="s">
        <v>532</v>
      </c>
      <c r="B36" s="4" t="s">
        <v>533</v>
      </c>
      <c r="C36" s="4" t="s">
        <v>534</v>
      </c>
      <c r="D36" s="4">
        <v>2024.0</v>
      </c>
      <c r="E36" s="4" t="s">
        <v>535</v>
      </c>
      <c r="F36" s="14" t="s">
        <v>533</v>
      </c>
      <c r="G36" s="4" t="s">
        <v>536</v>
      </c>
      <c r="H36" s="4" t="s">
        <v>537</v>
      </c>
      <c r="I36" s="4" t="s">
        <v>538</v>
      </c>
      <c r="J36" s="4" t="s">
        <v>539</v>
      </c>
      <c r="K36" s="4" t="s">
        <v>540</v>
      </c>
      <c r="L36" s="4" t="s">
        <v>541</v>
      </c>
      <c r="M36" s="4" t="s">
        <v>29</v>
      </c>
      <c r="N36" s="4" t="s">
        <v>542</v>
      </c>
      <c r="O36" s="4" t="s">
        <v>543</v>
      </c>
      <c r="P36" s="4" t="s">
        <v>544</v>
      </c>
      <c r="Q36" s="4" t="s">
        <v>545</v>
      </c>
      <c r="R36" s="4" t="s">
        <v>785</v>
      </c>
      <c r="S36" s="51">
        <v>1.0</v>
      </c>
      <c r="T36" s="51">
        <v>5.0</v>
      </c>
      <c r="U36" s="51">
        <v>4.0</v>
      </c>
      <c r="V36" s="51">
        <v>4.0</v>
      </c>
      <c r="W36" s="51">
        <v>5.0</v>
      </c>
      <c r="X36" s="51">
        <v>3.6</v>
      </c>
      <c r="Y36" s="51">
        <v>3.95</v>
      </c>
    </row>
    <row r="37">
      <c r="A37" s="4" t="s">
        <v>546</v>
      </c>
      <c r="B37" s="4" t="s">
        <v>547</v>
      </c>
      <c r="C37" s="4" t="s">
        <v>548</v>
      </c>
      <c r="D37" s="4">
        <v>2024.0</v>
      </c>
      <c r="E37" s="4" t="s">
        <v>549</v>
      </c>
      <c r="F37" s="14" t="s">
        <v>547</v>
      </c>
      <c r="G37" s="4" t="s">
        <v>550</v>
      </c>
      <c r="H37" s="4" t="s">
        <v>551</v>
      </c>
      <c r="I37" s="4" t="s">
        <v>552</v>
      </c>
      <c r="J37" s="4" t="s">
        <v>553</v>
      </c>
      <c r="K37" s="4" t="s">
        <v>554</v>
      </c>
      <c r="L37" s="4" t="s">
        <v>555</v>
      </c>
      <c r="M37" s="4" t="s">
        <v>29</v>
      </c>
      <c r="N37" s="4" t="s">
        <v>556</v>
      </c>
      <c r="O37" s="4" t="s">
        <v>557</v>
      </c>
      <c r="P37" s="4" t="s">
        <v>558</v>
      </c>
      <c r="Q37" s="4" t="s">
        <v>559</v>
      </c>
      <c r="R37" s="4" t="s">
        <v>34</v>
      </c>
      <c r="S37" s="51">
        <v>2.0</v>
      </c>
      <c r="T37" s="51">
        <v>5.0</v>
      </c>
      <c r="U37" s="51">
        <v>3.0</v>
      </c>
      <c r="V37" s="51">
        <v>4.0</v>
      </c>
      <c r="W37" s="51">
        <v>4.0</v>
      </c>
      <c r="X37" s="51">
        <v>3.55</v>
      </c>
      <c r="Y37" s="51">
        <v>3.75</v>
      </c>
    </row>
    <row r="38">
      <c r="A38" s="4" t="s">
        <v>560</v>
      </c>
      <c r="B38" s="4" t="s">
        <v>561</v>
      </c>
      <c r="C38" s="4" t="s">
        <v>562</v>
      </c>
      <c r="D38" s="4">
        <v>2025.0</v>
      </c>
      <c r="E38" s="4" t="s">
        <v>563</v>
      </c>
      <c r="F38" s="14" t="s">
        <v>561</v>
      </c>
      <c r="G38" s="4" t="s">
        <v>564</v>
      </c>
      <c r="H38" s="4" t="s">
        <v>565</v>
      </c>
      <c r="I38" s="4" t="s">
        <v>566</v>
      </c>
      <c r="J38" s="4" t="s">
        <v>567</v>
      </c>
      <c r="K38" s="4" t="s">
        <v>568</v>
      </c>
      <c r="L38" s="4" t="s">
        <v>569</v>
      </c>
      <c r="M38" s="4" t="s">
        <v>29</v>
      </c>
      <c r="N38" s="4" t="s">
        <v>570</v>
      </c>
      <c r="O38" s="4" t="s">
        <v>571</v>
      </c>
      <c r="P38" s="4" t="s">
        <v>572</v>
      </c>
      <c r="Q38" s="4" t="s">
        <v>573</v>
      </c>
      <c r="R38" s="4" t="s">
        <v>65</v>
      </c>
      <c r="S38" s="51">
        <v>3.0</v>
      </c>
      <c r="T38" s="51">
        <v>4.0</v>
      </c>
      <c r="U38" s="51">
        <v>4.0</v>
      </c>
      <c r="V38" s="51">
        <v>4.0</v>
      </c>
      <c r="W38" s="51">
        <v>5.0</v>
      </c>
      <c r="X38" s="51">
        <v>3.85</v>
      </c>
      <c r="Y38" s="51">
        <v>4.1</v>
      </c>
    </row>
    <row r="39">
      <c r="A39" s="4" t="s">
        <v>574</v>
      </c>
      <c r="B39" s="4" t="s">
        <v>575</v>
      </c>
      <c r="C39" s="4" t="s">
        <v>576</v>
      </c>
      <c r="D39" s="4">
        <v>2024.0</v>
      </c>
      <c r="E39" s="4" t="s">
        <v>577</v>
      </c>
      <c r="F39" s="14" t="s">
        <v>578</v>
      </c>
      <c r="G39" s="4" t="s">
        <v>579</v>
      </c>
      <c r="H39" s="4" t="s">
        <v>580</v>
      </c>
      <c r="I39" s="4" t="s">
        <v>581</v>
      </c>
      <c r="J39" s="4" t="s">
        <v>582</v>
      </c>
      <c r="K39" s="4" t="s">
        <v>583</v>
      </c>
      <c r="L39" s="4" t="s">
        <v>584</v>
      </c>
      <c r="M39" s="4" t="s">
        <v>29</v>
      </c>
      <c r="N39" s="4" t="s">
        <v>585</v>
      </c>
      <c r="O39" s="4" t="s">
        <v>586</v>
      </c>
      <c r="P39" s="4" t="s">
        <v>587</v>
      </c>
      <c r="Q39" s="4" t="s">
        <v>588</v>
      </c>
      <c r="R39" s="4" t="s">
        <v>65</v>
      </c>
      <c r="S39" s="51">
        <v>4.0</v>
      </c>
      <c r="T39" s="51">
        <v>5.0</v>
      </c>
      <c r="U39" s="51">
        <v>4.0</v>
      </c>
      <c r="V39" s="51">
        <v>4.0</v>
      </c>
      <c r="W39" s="51">
        <v>2.0</v>
      </c>
      <c r="X39" s="51">
        <v>4.05</v>
      </c>
      <c r="Y39" s="51">
        <v>3.9</v>
      </c>
    </row>
    <row r="40">
      <c r="A40" s="4" t="s">
        <v>589</v>
      </c>
      <c r="B40" s="4" t="s">
        <v>590</v>
      </c>
      <c r="C40" s="4" t="s">
        <v>591</v>
      </c>
      <c r="D40" s="4">
        <v>2024.0</v>
      </c>
      <c r="E40" s="4" t="s">
        <v>592</v>
      </c>
      <c r="F40" s="14" t="s">
        <v>593</v>
      </c>
      <c r="G40" s="4" t="s">
        <v>594</v>
      </c>
      <c r="H40" s="4" t="s">
        <v>595</v>
      </c>
      <c r="I40" s="4" t="s">
        <v>596</v>
      </c>
      <c r="J40" s="4" t="s">
        <v>597</v>
      </c>
      <c r="K40" s="4" t="s">
        <v>597</v>
      </c>
      <c r="L40" s="4" t="s">
        <v>598</v>
      </c>
      <c r="M40" s="4" t="s">
        <v>29</v>
      </c>
      <c r="N40" s="4" t="s">
        <v>599</v>
      </c>
      <c r="O40" s="4" t="s">
        <v>600</v>
      </c>
      <c r="P40" s="4" t="s">
        <v>601</v>
      </c>
      <c r="Q40" s="4" t="s">
        <v>602</v>
      </c>
      <c r="R40" s="4" t="s">
        <v>308</v>
      </c>
      <c r="S40" s="51">
        <v>1.0</v>
      </c>
      <c r="T40" s="51">
        <v>4.0</v>
      </c>
      <c r="U40" s="51">
        <v>5.0</v>
      </c>
      <c r="V40" s="51">
        <v>3.0</v>
      </c>
      <c r="W40" s="51">
        <v>2.0</v>
      </c>
      <c r="X40" s="51">
        <v>3.05</v>
      </c>
      <c r="Y40" s="51">
        <v>2.95</v>
      </c>
    </row>
    <row r="41">
      <c r="A41" s="4" t="s">
        <v>603</v>
      </c>
      <c r="B41" s="4" t="s">
        <v>604</v>
      </c>
      <c r="C41" s="4" t="s">
        <v>605</v>
      </c>
      <c r="D41" s="4">
        <v>2024.0</v>
      </c>
      <c r="E41" s="4" t="s">
        <v>606</v>
      </c>
      <c r="F41" s="14" t="s">
        <v>604</v>
      </c>
      <c r="G41" s="4" t="s">
        <v>607</v>
      </c>
      <c r="H41" s="4" t="s">
        <v>608</v>
      </c>
      <c r="I41" s="4" t="s">
        <v>609</v>
      </c>
      <c r="J41" s="4" t="s">
        <v>610</v>
      </c>
      <c r="K41" s="4" t="s">
        <v>611</v>
      </c>
      <c r="L41" s="4" t="s">
        <v>612</v>
      </c>
      <c r="M41" s="4" t="s">
        <v>29</v>
      </c>
      <c r="N41" s="4" t="s">
        <v>613</v>
      </c>
      <c r="O41" s="4" t="s">
        <v>614</v>
      </c>
      <c r="P41" s="4" t="s">
        <v>615</v>
      </c>
      <c r="Q41" s="4" t="s">
        <v>616</v>
      </c>
      <c r="R41" s="4" t="s">
        <v>96</v>
      </c>
      <c r="S41" s="51">
        <v>3.0</v>
      </c>
      <c r="T41" s="51">
        <v>5.0</v>
      </c>
      <c r="U41" s="51">
        <v>4.0</v>
      </c>
      <c r="V41" s="51">
        <v>5.0</v>
      </c>
      <c r="W41" s="51">
        <v>5.0</v>
      </c>
      <c r="X41" s="51">
        <v>4.3</v>
      </c>
      <c r="Y41" s="51">
        <v>4.55</v>
      </c>
    </row>
    <row r="42">
      <c r="A42" s="4" t="s">
        <v>617</v>
      </c>
      <c r="B42" s="4" t="s">
        <v>618</v>
      </c>
      <c r="C42" s="4" t="s">
        <v>619</v>
      </c>
      <c r="D42" s="4">
        <v>2025.0</v>
      </c>
      <c r="E42" s="4" t="s">
        <v>620</v>
      </c>
      <c r="F42" s="14" t="s">
        <v>621</v>
      </c>
      <c r="G42" s="4" t="s">
        <v>622</v>
      </c>
      <c r="H42" s="4" t="s">
        <v>623</v>
      </c>
      <c r="I42" s="4" t="s">
        <v>624</v>
      </c>
      <c r="J42" s="4" t="s">
        <v>597</v>
      </c>
      <c r="K42" s="4" t="s">
        <v>597</v>
      </c>
      <c r="L42" s="4" t="s">
        <v>625</v>
      </c>
      <c r="M42" s="4" t="s">
        <v>29</v>
      </c>
      <c r="N42" s="4" t="s">
        <v>626</v>
      </c>
      <c r="O42" s="4" t="s">
        <v>627</v>
      </c>
      <c r="P42" s="4" t="s">
        <v>628</v>
      </c>
      <c r="Q42" s="4" t="s">
        <v>629</v>
      </c>
      <c r="R42" s="4" t="s">
        <v>308</v>
      </c>
      <c r="S42" s="51">
        <v>1.0</v>
      </c>
      <c r="T42" s="51">
        <v>5.0</v>
      </c>
      <c r="U42" s="51">
        <v>4.0</v>
      </c>
      <c r="V42" s="51">
        <v>3.0</v>
      </c>
      <c r="W42" s="51">
        <v>2.0</v>
      </c>
      <c r="X42" s="51">
        <v>3.1</v>
      </c>
      <c r="Y42" s="51">
        <v>3.15</v>
      </c>
    </row>
    <row r="43">
      <c r="A43" s="4" t="s">
        <v>630</v>
      </c>
      <c r="B43" s="4" t="s">
        <v>631</v>
      </c>
      <c r="C43" s="4" t="s">
        <v>632</v>
      </c>
      <c r="D43" s="4">
        <v>2025.0</v>
      </c>
      <c r="E43" s="4" t="s">
        <v>633</v>
      </c>
      <c r="F43" s="14" t="s">
        <v>631</v>
      </c>
      <c r="G43" s="4" t="s">
        <v>634</v>
      </c>
      <c r="H43" s="4" t="s">
        <v>635</v>
      </c>
      <c r="I43" s="4" t="s">
        <v>636</v>
      </c>
      <c r="J43" s="4" t="s">
        <v>637</v>
      </c>
      <c r="K43" s="4" t="s">
        <v>638</v>
      </c>
      <c r="L43" s="4" t="s">
        <v>639</v>
      </c>
      <c r="M43" s="4" t="s">
        <v>640</v>
      </c>
      <c r="N43" s="4" t="s">
        <v>641</v>
      </c>
      <c r="O43" s="4" t="s">
        <v>642</v>
      </c>
      <c r="P43" s="4" t="s">
        <v>643</v>
      </c>
      <c r="Q43" s="4" t="s">
        <v>644</v>
      </c>
      <c r="R43" s="4" t="s">
        <v>338</v>
      </c>
      <c r="S43" s="51">
        <v>1.0</v>
      </c>
      <c r="T43" s="51">
        <v>5.0</v>
      </c>
      <c r="U43" s="51">
        <v>5.0</v>
      </c>
      <c r="V43" s="51">
        <v>2.0</v>
      </c>
      <c r="W43" s="51">
        <v>4.0</v>
      </c>
      <c r="X43" s="51">
        <v>3.3</v>
      </c>
      <c r="Y43" s="51">
        <v>3.6</v>
      </c>
    </row>
    <row r="44">
      <c r="A44" s="4" t="s">
        <v>645</v>
      </c>
      <c r="B44" s="4" t="s">
        <v>646</v>
      </c>
      <c r="C44" s="4" t="s">
        <v>647</v>
      </c>
      <c r="D44" s="4">
        <v>2025.0</v>
      </c>
      <c r="E44" s="4" t="s">
        <v>648</v>
      </c>
      <c r="F44" s="6" t="s">
        <v>646</v>
      </c>
      <c r="G44" s="4" t="s">
        <v>649</v>
      </c>
      <c r="H44" s="4" t="s">
        <v>650</v>
      </c>
      <c r="I44" s="4" t="s">
        <v>651</v>
      </c>
      <c r="J44" s="4" t="s">
        <v>652</v>
      </c>
      <c r="K44" s="4" t="s">
        <v>653</v>
      </c>
      <c r="L44" s="4" t="s">
        <v>654</v>
      </c>
      <c r="M44" s="4" t="s">
        <v>29</v>
      </c>
      <c r="N44" s="4" t="s">
        <v>655</v>
      </c>
      <c r="O44" s="4" t="s">
        <v>656</v>
      </c>
      <c r="P44" s="4" t="s">
        <v>657</v>
      </c>
      <c r="Q44" s="4" t="s">
        <v>658</v>
      </c>
      <c r="R44" s="4" t="s">
        <v>34</v>
      </c>
      <c r="S44" s="51">
        <v>4.0</v>
      </c>
      <c r="T44" s="51">
        <v>5.0</v>
      </c>
      <c r="U44" s="51">
        <v>4.0</v>
      </c>
      <c r="V44" s="51">
        <v>4.0</v>
      </c>
      <c r="W44" s="51">
        <v>4.0</v>
      </c>
      <c r="X44" s="51">
        <v>4.25</v>
      </c>
      <c r="Y44" s="51">
        <v>4.3</v>
      </c>
    </row>
    <row r="45">
      <c r="A45" s="4" t="s">
        <v>659</v>
      </c>
      <c r="B45" s="4" t="s">
        <v>660</v>
      </c>
      <c r="C45" s="4" t="s">
        <v>647</v>
      </c>
      <c r="D45" s="4">
        <v>2026.0</v>
      </c>
      <c r="E45" s="4" t="s">
        <v>661</v>
      </c>
      <c r="F45" s="6" t="s">
        <v>662</v>
      </c>
      <c r="G45" s="4" t="s">
        <v>663</v>
      </c>
      <c r="H45" s="4" t="s">
        <v>664</v>
      </c>
      <c r="I45" s="4" t="s">
        <v>665</v>
      </c>
      <c r="J45" s="4" t="s">
        <v>666</v>
      </c>
      <c r="K45" s="4" t="s">
        <v>667</v>
      </c>
      <c r="L45" s="4" t="s">
        <v>668</v>
      </c>
      <c r="M45" s="4" t="s">
        <v>29</v>
      </c>
      <c r="N45" s="4" t="s">
        <v>669</v>
      </c>
      <c r="O45" s="4" t="s">
        <v>670</v>
      </c>
      <c r="P45" s="4" t="s">
        <v>671</v>
      </c>
      <c r="Q45" s="4" t="s">
        <v>672</v>
      </c>
      <c r="R45" s="4" t="s">
        <v>96</v>
      </c>
      <c r="S45" s="51">
        <v>4.0</v>
      </c>
      <c r="T45" s="51">
        <v>5.0</v>
      </c>
      <c r="U45" s="51">
        <v>2.0</v>
      </c>
      <c r="V45" s="51">
        <v>5.0</v>
      </c>
      <c r="W45" s="51">
        <v>2.0</v>
      </c>
      <c r="X45" s="51">
        <v>3.85</v>
      </c>
      <c r="Y45" s="51">
        <v>3.7</v>
      </c>
    </row>
    <row r="46">
      <c r="A46" s="4" t="s">
        <v>673</v>
      </c>
      <c r="B46" s="4" t="s">
        <v>674</v>
      </c>
      <c r="C46" s="4" t="s">
        <v>675</v>
      </c>
      <c r="D46" s="4">
        <v>2025.0</v>
      </c>
      <c r="E46" s="4" t="s">
        <v>676</v>
      </c>
      <c r="F46" s="6" t="s">
        <v>674</v>
      </c>
      <c r="G46" s="4" t="s">
        <v>677</v>
      </c>
      <c r="H46" s="4" t="s">
        <v>678</v>
      </c>
      <c r="I46" s="4" t="s">
        <v>679</v>
      </c>
      <c r="J46" s="4" t="s">
        <v>680</v>
      </c>
      <c r="K46" s="4" t="s">
        <v>681</v>
      </c>
      <c r="L46" s="4" t="s">
        <v>682</v>
      </c>
      <c r="M46" s="4" t="s">
        <v>29</v>
      </c>
      <c r="N46" s="4" t="s">
        <v>683</v>
      </c>
      <c r="O46" s="4" t="s">
        <v>684</v>
      </c>
      <c r="P46" s="4" t="s">
        <v>685</v>
      </c>
      <c r="Q46" s="4" t="s">
        <v>686</v>
      </c>
      <c r="R46" s="4" t="s">
        <v>338</v>
      </c>
      <c r="S46" s="51">
        <v>1.0</v>
      </c>
      <c r="T46" s="51">
        <v>5.0</v>
      </c>
      <c r="U46" s="51">
        <v>4.0</v>
      </c>
      <c r="V46" s="51">
        <v>2.0</v>
      </c>
      <c r="W46" s="51">
        <v>2.0</v>
      </c>
      <c r="X46" s="51">
        <v>2.9</v>
      </c>
      <c r="Y46" s="51">
        <v>2.95</v>
      </c>
    </row>
    <row r="47">
      <c r="A47" s="4" t="s">
        <v>687</v>
      </c>
      <c r="B47" s="4" t="s">
        <v>688</v>
      </c>
      <c r="C47" s="4" t="s">
        <v>689</v>
      </c>
      <c r="D47" s="4">
        <v>2024.0</v>
      </c>
      <c r="E47" s="4" t="s">
        <v>690</v>
      </c>
      <c r="F47" s="6" t="s">
        <v>691</v>
      </c>
      <c r="G47" s="4" t="s">
        <v>692</v>
      </c>
      <c r="H47" s="4" t="s">
        <v>693</v>
      </c>
      <c r="I47" s="4" t="s">
        <v>694</v>
      </c>
      <c r="J47" s="4" t="s">
        <v>29</v>
      </c>
      <c r="K47" s="4" t="s">
        <v>29</v>
      </c>
      <c r="L47" s="4" t="s">
        <v>695</v>
      </c>
      <c r="M47" s="4" t="s">
        <v>29</v>
      </c>
      <c r="N47" s="4" t="s">
        <v>696</v>
      </c>
      <c r="O47" s="4" t="s">
        <v>697</v>
      </c>
      <c r="P47" s="4" t="s">
        <v>698</v>
      </c>
      <c r="Q47" s="4" t="s">
        <v>699</v>
      </c>
      <c r="R47" s="4" t="s">
        <v>791</v>
      </c>
      <c r="S47" s="51">
        <v>3.0</v>
      </c>
      <c r="T47" s="51">
        <v>3.0</v>
      </c>
      <c r="U47" s="51">
        <v>4.0</v>
      </c>
      <c r="V47" s="51">
        <v>2.0</v>
      </c>
      <c r="W47" s="51">
        <v>1.0</v>
      </c>
      <c r="X47" s="51">
        <v>2.8</v>
      </c>
      <c r="Y47" s="51">
        <v>2.35</v>
      </c>
    </row>
    <row r="48">
      <c r="A48" s="4" t="s">
        <v>700</v>
      </c>
      <c r="B48" s="4" t="s">
        <v>701</v>
      </c>
      <c r="C48" s="4" t="s">
        <v>83</v>
      </c>
      <c r="D48" s="4">
        <v>2026.0</v>
      </c>
      <c r="E48" s="4" t="s">
        <v>702</v>
      </c>
      <c r="F48" s="6" t="s">
        <v>703</v>
      </c>
      <c r="G48" s="4" t="s">
        <v>704</v>
      </c>
      <c r="H48" s="4" t="s">
        <v>705</v>
      </c>
      <c r="I48" s="4" t="s">
        <v>706</v>
      </c>
      <c r="J48" s="4" t="s">
        <v>707</v>
      </c>
      <c r="K48" s="4" t="s">
        <v>708</v>
      </c>
      <c r="L48" s="4" t="s">
        <v>709</v>
      </c>
      <c r="M48" s="4" t="s">
        <v>29</v>
      </c>
      <c r="N48" s="4" t="s">
        <v>710</v>
      </c>
      <c r="O48" s="4" t="s">
        <v>711</v>
      </c>
      <c r="P48" s="4" t="s">
        <v>712</v>
      </c>
      <c r="Q48" s="4" t="s">
        <v>713</v>
      </c>
      <c r="R48" s="4" t="s">
        <v>34</v>
      </c>
      <c r="S48" s="51">
        <v>3.0</v>
      </c>
      <c r="T48" s="51">
        <v>5.0</v>
      </c>
      <c r="U48" s="51">
        <v>2.0</v>
      </c>
      <c r="V48" s="51">
        <v>4.0</v>
      </c>
      <c r="W48" s="51">
        <v>2.0</v>
      </c>
      <c r="X48" s="51">
        <v>3.4</v>
      </c>
      <c r="Y48" s="51">
        <v>3.45</v>
      </c>
    </row>
    <row r="49">
      <c r="S49" s="52"/>
      <c r="T49" s="52"/>
      <c r="U49" s="52"/>
      <c r="V49" s="52"/>
      <c r="W49" s="52"/>
      <c r="X49" s="52"/>
      <c r="Y49" s="52"/>
    </row>
    <row r="50">
      <c r="S50" s="52"/>
      <c r="T50" s="52"/>
      <c r="U50" s="52"/>
      <c r="V50" s="52"/>
      <c r="W50" s="52"/>
      <c r="X50" s="52"/>
      <c r="Y50" s="52"/>
    </row>
    <row r="51">
      <c r="S51" s="52"/>
      <c r="T51" s="52"/>
      <c r="U51" s="52"/>
      <c r="V51" s="52"/>
      <c r="W51" s="52"/>
      <c r="X51" s="52"/>
      <c r="Y51" s="52"/>
    </row>
    <row r="52">
      <c r="S52" s="52"/>
      <c r="T52" s="52"/>
      <c r="U52" s="52"/>
      <c r="V52" s="52"/>
      <c r="W52" s="52"/>
      <c r="X52" s="52"/>
      <c r="Y52" s="52"/>
    </row>
    <row r="53">
      <c r="S53" s="52"/>
      <c r="T53" s="52"/>
      <c r="U53" s="52"/>
      <c r="V53" s="52"/>
      <c r="W53" s="52"/>
      <c r="X53" s="52"/>
      <c r="Y53" s="52"/>
    </row>
    <row r="54">
      <c r="S54" s="52"/>
      <c r="T54" s="52"/>
      <c r="U54" s="52"/>
      <c r="V54" s="52"/>
      <c r="W54" s="52"/>
      <c r="X54" s="52"/>
      <c r="Y54" s="52"/>
    </row>
    <row r="55">
      <c r="S55" s="52"/>
      <c r="T55" s="52"/>
      <c r="U55" s="52"/>
      <c r="V55" s="52"/>
      <c r="W55" s="52"/>
      <c r="X55" s="52"/>
      <c r="Y55" s="52"/>
    </row>
    <row r="56">
      <c r="S56" s="52"/>
      <c r="T56" s="52"/>
      <c r="U56" s="52"/>
      <c r="V56" s="52"/>
      <c r="W56" s="52"/>
      <c r="X56" s="52"/>
      <c r="Y56" s="52"/>
    </row>
    <row r="57">
      <c r="S57" s="52"/>
      <c r="T57" s="52"/>
      <c r="U57" s="52"/>
      <c r="V57" s="52"/>
      <c r="W57" s="52"/>
      <c r="X57" s="52"/>
      <c r="Y57" s="52"/>
    </row>
    <row r="58">
      <c r="S58" s="52"/>
      <c r="T58" s="52"/>
      <c r="U58" s="52"/>
      <c r="V58" s="52"/>
      <c r="W58" s="52"/>
      <c r="X58" s="52"/>
      <c r="Y58" s="52"/>
    </row>
    <row r="59">
      <c r="S59" s="52"/>
      <c r="T59" s="52"/>
      <c r="U59" s="52"/>
      <c r="V59" s="52"/>
      <c r="W59" s="52"/>
      <c r="X59" s="52"/>
      <c r="Y59" s="52"/>
    </row>
    <row r="60">
      <c r="S60" s="52"/>
      <c r="T60" s="52"/>
      <c r="U60" s="52"/>
      <c r="V60" s="52"/>
      <c r="W60" s="52"/>
      <c r="X60" s="52"/>
      <c r="Y60" s="52"/>
    </row>
    <row r="61">
      <c r="S61" s="52"/>
      <c r="T61" s="52"/>
      <c r="U61" s="52"/>
      <c r="V61" s="52"/>
      <c r="W61" s="52"/>
      <c r="X61" s="52"/>
      <c r="Y61" s="52"/>
    </row>
    <row r="62">
      <c r="S62" s="52"/>
      <c r="T62" s="52"/>
      <c r="U62" s="52"/>
      <c r="V62" s="52"/>
      <c r="W62" s="52"/>
      <c r="X62" s="52"/>
      <c r="Y62" s="52"/>
    </row>
    <row r="63">
      <c r="S63" s="52"/>
      <c r="T63" s="52"/>
      <c r="U63" s="52"/>
      <c r="V63" s="52"/>
      <c r="W63" s="52"/>
      <c r="X63" s="52"/>
      <c r="Y63" s="52"/>
    </row>
    <row r="64">
      <c r="S64" s="52"/>
      <c r="T64" s="52"/>
      <c r="U64" s="52"/>
      <c r="V64" s="52"/>
      <c r="W64" s="52"/>
      <c r="X64" s="52"/>
      <c r="Y64" s="52"/>
    </row>
    <row r="65">
      <c r="S65" s="52"/>
      <c r="T65" s="52"/>
      <c r="U65" s="52"/>
      <c r="V65" s="52"/>
      <c r="W65" s="52"/>
      <c r="X65" s="52"/>
      <c r="Y65" s="52"/>
    </row>
    <row r="66">
      <c r="S66" s="52"/>
      <c r="T66" s="52"/>
      <c r="U66" s="52"/>
      <c r="V66" s="52"/>
      <c r="W66" s="52"/>
      <c r="X66" s="52"/>
      <c r="Y66" s="52"/>
    </row>
    <row r="67">
      <c r="S67" s="52"/>
      <c r="T67" s="52"/>
      <c r="U67" s="52"/>
      <c r="V67" s="52"/>
      <c r="W67" s="52"/>
      <c r="X67" s="52"/>
      <c r="Y67" s="52"/>
    </row>
    <row r="68">
      <c r="S68" s="52"/>
      <c r="T68" s="52"/>
      <c r="U68" s="52"/>
      <c r="V68" s="52"/>
      <c r="W68" s="52"/>
      <c r="X68" s="52"/>
      <c r="Y68" s="52"/>
    </row>
    <row r="69">
      <c r="S69" s="52"/>
      <c r="T69" s="52"/>
      <c r="U69" s="52"/>
      <c r="V69" s="52"/>
      <c r="W69" s="52"/>
      <c r="X69" s="52"/>
      <c r="Y69" s="52"/>
    </row>
    <row r="70">
      <c r="S70" s="52"/>
      <c r="T70" s="52"/>
      <c r="U70" s="52"/>
      <c r="V70" s="52"/>
      <c r="W70" s="52"/>
      <c r="X70" s="52"/>
      <c r="Y70" s="52"/>
    </row>
    <row r="71">
      <c r="S71" s="52"/>
      <c r="T71" s="52"/>
      <c r="U71" s="52"/>
      <c r="V71" s="52"/>
      <c r="W71" s="52"/>
      <c r="X71" s="52"/>
      <c r="Y71" s="52"/>
    </row>
    <row r="72">
      <c r="S72" s="52"/>
      <c r="T72" s="52"/>
      <c r="U72" s="52"/>
      <c r="V72" s="52"/>
      <c r="W72" s="52"/>
      <c r="X72" s="52"/>
      <c r="Y72" s="52"/>
    </row>
    <row r="73">
      <c r="S73" s="52"/>
      <c r="T73" s="52"/>
      <c r="U73" s="52"/>
      <c r="V73" s="52"/>
      <c r="W73" s="52"/>
      <c r="X73" s="52"/>
      <c r="Y73" s="52"/>
    </row>
    <row r="74">
      <c r="S74" s="52"/>
      <c r="T74" s="52"/>
      <c r="U74" s="52"/>
      <c r="V74" s="52"/>
      <c r="W74" s="52"/>
      <c r="X74" s="52"/>
      <c r="Y74" s="52"/>
    </row>
    <row r="75">
      <c r="S75" s="52"/>
      <c r="T75" s="52"/>
      <c r="U75" s="52"/>
      <c r="V75" s="52"/>
      <c r="W75" s="52"/>
      <c r="X75" s="52"/>
      <c r="Y75" s="52"/>
    </row>
    <row r="76">
      <c r="S76" s="52"/>
      <c r="T76" s="52"/>
      <c r="U76" s="52"/>
      <c r="V76" s="52"/>
      <c r="W76" s="52"/>
      <c r="X76" s="52"/>
      <c r="Y76" s="52"/>
    </row>
    <row r="77">
      <c r="S77" s="52"/>
      <c r="T77" s="52"/>
      <c r="U77" s="52"/>
      <c r="V77" s="52"/>
      <c r="W77" s="52"/>
      <c r="X77" s="52"/>
      <c r="Y77" s="52"/>
    </row>
    <row r="78">
      <c r="S78" s="52"/>
      <c r="T78" s="52"/>
      <c r="U78" s="52"/>
      <c r="V78" s="52"/>
      <c r="W78" s="52"/>
      <c r="X78" s="52"/>
      <c r="Y78" s="52"/>
    </row>
    <row r="79">
      <c r="S79" s="52"/>
      <c r="T79" s="52"/>
      <c r="U79" s="52"/>
      <c r="V79" s="52"/>
      <c r="W79" s="52"/>
      <c r="X79" s="52"/>
      <c r="Y79" s="52"/>
    </row>
    <row r="80">
      <c r="S80" s="52"/>
      <c r="T80" s="52"/>
      <c r="U80" s="52"/>
      <c r="V80" s="52"/>
      <c r="W80" s="52"/>
      <c r="X80" s="52"/>
      <c r="Y80" s="52"/>
    </row>
    <row r="81">
      <c r="S81" s="52"/>
      <c r="T81" s="52"/>
      <c r="U81" s="52"/>
      <c r="V81" s="52"/>
      <c r="W81" s="52"/>
      <c r="X81" s="52"/>
      <c r="Y81" s="52"/>
    </row>
    <row r="82">
      <c r="S82" s="52"/>
      <c r="T82" s="52"/>
      <c r="U82" s="52"/>
      <c r="V82" s="52"/>
      <c r="W82" s="52"/>
      <c r="X82" s="52"/>
      <c r="Y82" s="52"/>
    </row>
    <row r="83">
      <c r="S83" s="52"/>
      <c r="T83" s="52"/>
      <c r="U83" s="52"/>
      <c r="V83" s="52"/>
      <c r="W83" s="52"/>
      <c r="X83" s="52"/>
      <c r="Y83" s="52"/>
    </row>
    <row r="84">
      <c r="S84" s="52"/>
      <c r="T84" s="52"/>
      <c r="U84" s="52"/>
      <c r="V84" s="52"/>
      <c r="W84" s="52"/>
      <c r="X84" s="52"/>
      <c r="Y84" s="52"/>
    </row>
    <row r="85">
      <c r="S85" s="52"/>
      <c r="T85" s="52"/>
      <c r="U85" s="52"/>
      <c r="V85" s="52"/>
      <c r="W85" s="52"/>
      <c r="X85" s="52"/>
      <c r="Y85" s="52"/>
    </row>
    <row r="86">
      <c r="S86" s="52"/>
      <c r="T86" s="52"/>
      <c r="U86" s="52"/>
      <c r="V86" s="52"/>
      <c r="W86" s="52"/>
      <c r="X86" s="52"/>
      <c r="Y86" s="52"/>
    </row>
    <row r="87">
      <c r="S87" s="52"/>
      <c r="T87" s="52"/>
      <c r="U87" s="52"/>
      <c r="V87" s="52"/>
      <c r="W87" s="52"/>
      <c r="X87" s="52"/>
      <c r="Y87" s="52"/>
    </row>
    <row r="88">
      <c r="S88" s="52"/>
      <c r="T88" s="52"/>
      <c r="U88" s="52"/>
      <c r="V88" s="52"/>
      <c r="W88" s="52"/>
      <c r="X88" s="52"/>
      <c r="Y88" s="52"/>
    </row>
    <row r="89">
      <c r="S89" s="52"/>
      <c r="T89" s="52"/>
      <c r="U89" s="52"/>
      <c r="V89" s="52"/>
      <c r="W89" s="52"/>
      <c r="X89" s="52"/>
      <c r="Y89" s="52"/>
    </row>
    <row r="90">
      <c r="S90" s="52"/>
      <c r="T90" s="52"/>
      <c r="U90" s="52"/>
      <c r="V90" s="52"/>
      <c r="W90" s="52"/>
      <c r="X90" s="52"/>
      <c r="Y90" s="52"/>
    </row>
    <row r="91">
      <c r="S91" s="52"/>
      <c r="T91" s="52"/>
      <c r="U91" s="52"/>
      <c r="V91" s="52"/>
      <c r="W91" s="52"/>
      <c r="X91" s="52"/>
      <c r="Y91" s="52"/>
    </row>
    <row r="92">
      <c r="S92" s="52"/>
      <c r="T92" s="52"/>
      <c r="U92" s="52"/>
      <c r="V92" s="52"/>
      <c r="W92" s="52"/>
      <c r="X92" s="52"/>
      <c r="Y92" s="52"/>
    </row>
    <row r="93">
      <c r="S93" s="52"/>
      <c r="T93" s="52"/>
      <c r="U93" s="52"/>
      <c r="V93" s="52"/>
      <c r="W93" s="52"/>
      <c r="X93" s="52"/>
      <c r="Y93" s="52"/>
    </row>
    <row r="94">
      <c r="S94" s="52"/>
      <c r="T94" s="52"/>
      <c r="U94" s="52"/>
      <c r="V94" s="52"/>
      <c r="W94" s="52"/>
      <c r="X94" s="52"/>
      <c r="Y94" s="52"/>
    </row>
    <row r="95">
      <c r="S95" s="52"/>
      <c r="T95" s="52"/>
      <c r="U95" s="52"/>
      <c r="V95" s="52"/>
      <c r="W95" s="52"/>
      <c r="X95" s="52"/>
      <c r="Y95" s="52"/>
    </row>
    <row r="96">
      <c r="S96" s="52"/>
      <c r="T96" s="52"/>
      <c r="U96" s="52"/>
      <c r="V96" s="52"/>
      <c r="W96" s="52"/>
      <c r="X96" s="52"/>
      <c r="Y96" s="52"/>
    </row>
    <row r="97">
      <c r="S97" s="52"/>
      <c r="T97" s="52"/>
      <c r="U97" s="52"/>
      <c r="V97" s="52"/>
      <c r="W97" s="52"/>
      <c r="X97" s="52"/>
      <c r="Y97" s="52"/>
    </row>
    <row r="98">
      <c r="S98" s="52"/>
      <c r="T98" s="52"/>
      <c r="U98" s="52"/>
      <c r="V98" s="52"/>
      <c r="W98" s="52"/>
      <c r="X98" s="52"/>
      <c r="Y98" s="52"/>
    </row>
    <row r="99">
      <c r="S99" s="52"/>
      <c r="T99" s="52"/>
      <c r="U99" s="52"/>
      <c r="V99" s="52"/>
      <c r="W99" s="52"/>
      <c r="X99" s="52"/>
      <c r="Y99" s="52"/>
    </row>
    <row r="100">
      <c r="S100" s="52"/>
      <c r="T100" s="52"/>
      <c r="U100" s="52"/>
      <c r="V100" s="52"/>
      <c r="W100" s="52"/>
      <c r="X100" s="52"/>
      <c r="Y100" s="52"/>
    </row>
    <row r="101">
      <c r="S101" s="52"/>
      <c r="T101" s="52"/>
      <c r="U101" s="52"/>
      <c r="V101" s="52"/>
      <c r="W101" s="52"/>
      <c r="X101" s="52"/>
      <c r="Y101" s="52"/>
    </row>
    <row r="102">
      <c r="S102" s="52"/>
      <c r="T102" s="52"/>
      <c r="U102" s="52"/>
      <c r="V102" s="52"/>
      <c r="W102" s="52"/>
      <c r="X102" s="52"/>
      <c r="Y102" s="52"/>
    </row>
    <row r="103">
      <c r="S103" s="52"/>
      <c r="T103" s="52"/>
      <c r="U103" s="52"/>
      <c r="V103" s="52"/>
      <c r="W103" s="52"/>
      <c r="X103" s="52"/>
      <c r="Y103" s="52"/>
    </row>
    <row r="104">
      <c r="S104" s="52"/>
      <c r="T104" s="52"/>
      <c r="U104" s="52"/>
      <c r="V104" s="52"/>
      <c r="W104" s="52"/>
      <c r="X104" s="52"/>
      <c r="Y104" s="52"/>
    </row>
    <row r="105">
      <c r="S105" s="52"/>
      <c r="T105" s="52"/>
      <c r="U105" s="52"/>
      <c r="V105" s="52"/>
      <c r="W105" s="52"/>
      <c r="X105" s="52"/>
      <c r="Y105" s="52"/>
    </row>
    <row r="106">
      <c r="S106" s="52"/>
      <c r="T106" s="52"/>
      <c r="U106" s="52"/>
      <c r="V106" s="52"/>
      <c r="W106" s="52"/>
      <c r="X106" s="52"/>
      <c r="Y106" s="52"/>
    </row>
    <row r="107">
      <c r="S107" s="52"/>
      <c r="T107" s="52"/>
      <c r="U107" s="52"/>
      <c r="V107" s="52"/>
      <c r="W107" s="52"/>
      <c r="X107" s="52"/>
      <c r="Y107" s="52"/>
    </row>
    <row r="108">
      <c r="S108" s="52"/>
      <c r="T108" s="52"/>
      <c r="U108" s="52"/>
      <c r="V108" s="52"/>
      <c r="W108" s="52"/>
      <c r="X108" s="52"/>
      <c r="Y108" s="52"/>
    </row>
    <row r="109">
      <c r="S109" s="52"/>
      <c r="T109" s="52"/>
      <c r="U109" s="52"/>
      <c r="V109" s="52"/>
      <c r="W109" s="52"/>
      <c r="X109" s="52"/>
      <c r="Y109" s="52"/>
    </row>
    <row r="110">
      <c r="S110" s="52"/>
      <c r="T110" s="52"/>
      <c r="U110" s="52"/>
      <c r="V110" s="52"/>
      <c r="W110" s="52"/>
      <c r="X110" s="52"/>
      <c r="Y110" s="52"/>
    </row>
    <row r="111">
      <c r="S111" s="52"/>
      <c r="T111" s="52"/>
      <c r="U111" s="52"/>
      <c r="V111" s="52"/>
      <c r="W111" s="52"/>
      <c r="X111" s="52"/>
      <c r="Y111" s="52"/>
    </row>
    <row r="112">
      <c r="S112" s="52"/>
      <c r="T112" s="52"/>
      <c r="U112" s="52"/>
      <c r="V112" s="52"/>
      <c r="W112" s="52"/>
      <c r="X112" s="52"/>
      <c r="Y112" s="52"/>
    </row>
    <row r="113">
      <c r="S113" s="52"/>
      <c r="T113" s="52"/>
      <c r="U113" s="52"/>
      <c r="V113" s="52"/>
      <c r="W113" s="52"/>
      <c r="X113" s="52"/>
      <c r="Y113" s="52"/>
    </row>
    <row r="114">
      <c r="S114" s="52"/>
      <c r="T114" s="52"/>
      <c r="U114" s="52"/>
      <c r="V114" s="52"/>
      <c r="W114" s="52"/>
      <c r="X114" s="52"/>
      <c r="Y114" s="52"/>
    </row>
    <row r="115">
      <c r="S115" s="52"/>
      <c r="T115" s="52"/>
      <c r="U115" s="52"/>
      <c r="V115" s="52"/>
      <c r="W115" s="52"/>
      <c r="X115" s="52"/>
      <c r="Y115" s="52"/>
    </row>
    <row r="116">
      <c r="S116" s="52"/>
      <c r="T116" s="52"/>
      <c r="U116" s="52"/>
      <c r="V116" s="52"/>
      <c r="W116" s="52"/>
      <c r="X116" s="52"/>
      <c r="Y116" s="52"/>
    </row>
    <row r="117">
      <c r="S117" s="52"/>
      <c r="T117" s="52"/>
      <c r="U117" s="52"/>
      <c r="V117" s="52"/>
      <c r="W117" s="52"/>
      <c r="X117" s="52"/>
      <c r="Y117" s="52"/>
    </row>
    <row r="118">
      <c r="S118" s="52"/>
      <c r="T118" s="52"/>
      <c r="U118" s="52"/>
      <c r="V118" s="52"/>
      <c r="W118" s="52"/>
      <c r="X118" s="52"/>
      <c r="Y118" s="52"/>
    </row>
    <row r="119">
      <c r="S119" s="52"/>
      <c r="T119" s="52"/>
      <c r="U119" s="52"/>
      <c r="V119" s="52"/>
      <c r="W119" s="52"/>
      <c r="X119" s="52"/>
      <c r="Y119" s="52"/>
    </row>
    <row r="120">
      <c r="S120" s="52"/>
      <c r="T120" s="52"/>
      <c r="U120" s="52"/>
      <c r="V120" s="52"/>
      <c r="W120" s="52"/>
      <c r="X120" s="52"/>
      <c r="Y120" s="52"/>
    </row>
    <row r="121">
      <c r="S121" s="52"/>
      <c r="T121" s="52"/>
      <c r="U121" s="52"/>
      <c r="V121" s="52"/>
      <c r="W121" s="52"/>
      <c r="X121" s="52"/>
      <c r="Y121" s="52"/>
    </row>
    <row r="122">
      <c r="S122" s="52"/>
      <c r="T122" s="52"/>
      <c r="U122" s="52"/>
      <c r="V122" s="52"/>
      <c r="W122" s="52"/>
      <c r="X122" s="52"/>
      <c r="Y122" s="52"/>
    </row>
    <row r="123">
      <c r="S123" s="52"/>
      <c r="T123" s="52"/>
      <c r="U123" s="52"/>
      <c r="V123" s="52"/>
      <c r="W123" s="52"/>
      <c r="X123" s="52"/>
      <c r="Y123" s="52"/>
    </row>
    <row r="124">
      <c r="S124" s="52"/>
      <c r="T124" s="52"/>
      <c r="U124" s="52"/>
      <c r="V124" s="52"/>
      <c r="W124" s="52"/>
      <c r="X124" s="52"/>
      <c r="Y124" s="52"/>
    </row>
    <row r="125">
      <c r="S125" s="52"/>
      <c r="T125" s="52"/>
      <c r="U125" s="52"/>
      <c r="V125" s="52"/>
      <c r="W125" s="52"/>
      <c r="X125" s="52"/>
      <c r="Y125" s="52"/>
    </row>
    <row r="126">
      <c r="S126" s="52"/>
      <c r="T126" s="52"/>
      <c r="U126" s="52"/>
      <c r="V126" s="52"/>
      <c r="W126" s="52"/>
      <c r="X126" s="52"/>
      <c r="Y126" s="52"/>
    </row>
    <row r="127">
      <c r="S127" s="52"/>
      <c r="T127" s="52"/>
      <c r="U127" s="52"/>
      <c r="V127" s="52"/>
      <c r="W127" s="52"/>
      <c r="X127" s="52"/>
      <c r="Y127" s="52"/>
    </row>
    <row r="128">
      <c r="S128" s="52"/>
      <c r="T128" s="52"/>
      <c r="U128" s="52"/>
      <c r="V128" s="52"/>
      <c r="W128" s="52"/>
      <c r="X128" s="52"/>
      <c r="Y128" s="52"/>
    </row>
    <row r="129">
      <c r="S129" s="52"/>
      <c r="T129" s="52"/>
      <c r="U129" s="52"/>
      <c r="V129" s="52"/>
      <c r="W129" s="52"/>
      <c r="X129" s="52"/>
      <c r="Y129" s="52"/>
    </row>
    <row r="130">
      <c r="S130" s="52"/>
      <c r="T130" s="52"/>
      <c r="U130" s="52"/>
      <c r="V130" s="52"/>
      <c r="W130" s="52"/>
      <c r="X130" s="52"/>
      <c r="Y130" s="52"/>
    </row>
    <row r="131">
      <c r="S131" s="52"/>
      <c r="T131" s="52"/>
      <c r="U131" s="52"/>
      <c r="V131" s="52"/>
      <c r="W131" s="52"/>
      <c r="X131" s="52"/>
      <c r="Y131" s="52"/>
    </row>
    <row r="132">
      <c r="S132" s="52"/>
      <c r="T132" s="52"/>
      <c r="U132" s="52"/>
      <c r="V132" s="52"/>
      <c r="W132" s="52"/>
      <c r="X132" s="52"/>
      <c r="Y132" s="52"/>
    </row>
    <row r="133">
      <c r="S133" s="52"/>
      <c r="T133" s="52"/>
      <c r="U133" s="52"/>
      <c r="V133" s="52"/>
      <c r="W133" s="52"/>
      <c r="X133" s="52"/>
      <c r="Y133" s="52"/>
    </row>
    <row r="134">
      <c r="S134" s="52"/>
      <c r="T134" s="52"/>
      <c r="U134" s="52"/>
      <c r="V134" s="52"/>
      <c r="W134" s="52"/>
      <c r="X134" s="52"/>
      <c r="Y134" s="52"/>
    </row>
    <row r="135">
      <c r="S135" s="52"/>
      <c r="T135" s="52"/>
      <c r="U135" s="52"/>
      <c r="V135" s="52"/>
      <c r="W135" s="52"/>
      <c r="X135" s="52"/>
      <c r="Y135" s="52"/>
    </row>
    <row r="136">
      <c r="S136" s="52"/>
      <c r="T136" s="52"/>
      <c r="U136" s="52"/>
      <c r="V136" s="52"/>
      <c r="W136" s="52"/>
      <c r="X136" s="52"/>
      <c r="Y136" s="52"/>
    </row>
    <row r="137">
      <c r="S137" s="52"/>
      <c r="T137" s="52"/>
      <c r="U137" s="52"/>
      <c r="V137" s="52"/>
      <c r="W137" s="52"/>
      <c r="X137" s="52"/>
      <c r="Y137" s="52"/>
    </row>
    <row r="138">
      <c r="S138" s="52"/>
      <c r="T138" s="52"/>
      <c r="U138" s="52"/>
      <c r="V138" s="52"/>
      <c r="W138" s="52"/>
      <c r="X138" s="52"/>
      <c r="Y138" s="52"/>
    </row>
    <row r="139">
      <c r="S139" s="52"/>
      <c r="T139" s="52"/>
      <c r="U139" s="52"/>
      <c r="V139" s="52"/>
      <c r="W139" s="52"/>
      <c r="X139" s="52"/>
      <c r="Y139" s="52"/>
    </row>
    <row r="140">
      <c r="S140" s="52"/>
      <c r="T140" s="52"/>
      <c r="U140" s="52"/>
      <c r="V140" s="52"/>
      <c r="W140" s="52"/>
      <c r="X140" s="52"/>
      <c r="Y140" s="52"/>
    </row>
    <row r="141">
      <c r="S141" s="52"/>
      <c r="T141" s="52"/>
      <c r="U141" s="52"/>
      <c r="V141" s="52"/>
      <c r="W141" s="52"/>
      <c r="X141" s="52"/>
      <c r="Y141" s="52"/>
    </row>
    <row r="142">
      <c r="S142" s="52"/>
      <c r="T142" s="52"/>
      <c r="U142" s="52"/>
      <c r="V142" s="52"/>
      <c r="W142" s="52"/>
      <c r="X142" s="52"/>
      <c r="Y142" s="52"/>
    </row>
    <row r="143">
      <c r="S143" s="52"/>
      <c r="T143" s="52"/>
      <c r="U143" s="52"/>
      <c r="V143" s="52"/>
      <c r="W143" s="52"/>
      <c r="X143" s="52"/>
      <c r="Y143" s="52"/>
    </row>
    <row r="144">
      <c r="S144" s="52"/>
      <c r="T144" s="52"/>
      <c r="U144" s="52"/>
      <c r="V144" s="52"/>
      <c r="W144" s="52"/>
      <c r="X144" s="52"/>
      <c r="Y144" s="52"/>
    </row>
    <row r="145">
      <c r="S145" s="52"/>
      <c r="T145" s="52"/>
      <c r="U145" s="52"/>
      <c r="V145" s="52"/>
      <c r="W145" s="52"/>
      <c r="X145" s="52"/>
      <c r="Y145" s="52"/>
    </row>
    <row r="146">
      <c r="S146" s="52"/>
      <c r="T146" s="52"/>
      <c r="U146" s="52"/>
      <c r="V146" s="52"/>
      <c r="W146" s="52"/>
      <c r="X146" s="52"/>
      <c r="Y146" s="52"/>
    </row>
    <row r="147">
      <c r="S147" s="52"/>
      <c r="T147" s="52"/>
      <c r="U147" s="52"/>
      <c r="V147" s="52"/>
      <c r="W147" s="52"/>
      <c r="X147" s="52"/>
      <c r="Y147" s="52"/>
    </row>
    <row r="148">
      <c r="S148" s="52"/>
      <c r="T148" s="52"/>
      <c r="U148" s="52"/>
      <c r="V148" s="52"/>
      <c r="W148" s="52"/>
      <c r="X148" s="52"/>
      <c r="Y148" s="52"/>
    </row>
    <row r="149">
      <c r="S149" s="52"/>
      <c r="T149" s="52"/>
      <c r="U149" s="52"/>
      <c r="V149" s="52"/>
      <c r="W149" s="52"/>
      <c r="X149" s="52"/>
      <c r="Y149" s="52"/>
    </row>
    <row r="150">
      <c r="S150" s="52"/>
      <c r="T150" s="52"/>
      <c r="U150" s="52"/>
      <c r="V150" s="52"/>
      <c r="W150" s="52"/>
      <c r="X150" s="52"/>
      <c r="Y150" s="52"/>
    </row>
    <row r="151">
      <c r="S151" s="52"/>
      <c r="T151" s="52"/>
      <c r="U151" s="52"/>
      <c r="V151" s="52"/>
      <c r="W151" s="52"/>
      <c r="X151" s="52"/>
      <c r="Y151" s="52"/>
    </row>
    <row r="152">
      <c r="S152" s="52"/>
      <c r="T152" s="52"/>
      <c r="U152" s="52"/>
      <c r="V152" s="52"/>
      <c r="W152" s="52"/>
      <c r="X152" s="52"/>
      <c r="Y152" s="52"/>
    </row>
    <row r="153">
      <c r="S153" s="52"/>
      <c r="T153" s="52"/>
      <c r="U153" s="52"/>
      <c r="V153" s="52"/>
      <c r="W153" s="52"/>
      <c r="X153" s="52"/>
      <c r="Y153" s="52"/>
    </row>
    <row r="154">
      <c r="S154" s="52"/>
      <c r="T154" s="52"/>
      <c r="U154" s="52"/>
      <c r="V154" s="52"/>
      <c r="W154" s="52"/>
      <c r="X154" s="52"/>
      <c r="Y154" s="52"/>
    </row>
    <row r="155">
      <c r="S155" s="52"/>
      <c r="T155" s="52"/>
      <c r="U155" s="52"/>
      <c r="V155" s="52"/>
      <c r="W155" s="52"/>
      <c r="X155" s="52"/>
      <c r="Y155" s="52"/>
    </row>
    <row r="156">
      <c r="S156" s="52"/>
      <c r="T156" s="52"/>
      <c r="U156" s="52"/>
      <c r="V156" s="52"/>
      <c r="W156" s="52"/>
      <c r="X156" s="52"/>
      <c r="Y156" s="52"/>
    </row>
    <row r="157">
      <c r="S157" s="52"/>
      <c r="T157" s="52"/>
      <c r="U157" s="52"/>
      <c r="V157" s="52"/>
      <c r="W157" s="52"/>
      <c r="X157" s="52"/>
      <c r="Y157" s="52"/>
    </row>
    <row r="158">
      <c r="S158" s="52"/>
      <c r="T158" s="52"/>
      <c r="U158" s="52"/>
      <c r="V158" s="52"/>
      <c r="W158" s="52"/>
      <c r="X158" s="52"/>
      <c r="Y158" s="52"/>
    </row>
    <row r="159">
      <c r="S159" s="52"/>
      <c r="T159" s="52"/>
      <c r="U159" s="52"/>
      <c r="V159" s="52"/>
      <c r="W159" s="52"/>
      <c r="X159" s="52"/>
      <c r="Y159" s="52"/>
    </row>
    <row r="160">
      <c r="S160" s="52"/>
      <c r="T160" s="52"/>
      <c r="U160" s="52"/>
      <c r="V160" s="52"/>
      <c r="W160" s="52"/>
      <c r="X160" s="52"/>
      <c r="Y160" s="52"/>
    </row>
    <row r="161">
      <c r="S161" s="52"/>
      <c r="T161" s="52"/>
      <c r="U161" s="52"/>
      <c r="V161" s="52"/>
      <c r="W161" s="52"/>
      <c r="X161" s="52"/>
      <c r="Y161" s="52"/>
    </row>
    <row r="162">
      <c r="S162" s="52"/>
      <c r="T162" s="52"/>
      <c r="U162" s="52"/>
      <c r="V162" s="52"/>
      <c r="W162" s="52"/>
      <c r="X162" s="52"/>
      <c r="Y162" s="52"/>
    </row>
    <row r="163">
      <c r="S163" s="52"/>
      <c r="T163" s="52"/>
      <c r="U163" s="52"/>
      <c r="V163" s="52"/>
      <c r="W163" s="52"/>
      <c r="X163" s="52"/>
      <c r="Y163" s="52"/>
    </row>
    <row r="164">
      <c r="S164" s="52"/>
      <c r="T164" s="52"/>
      <c r="U164" s="52"/>
      <c r="V164" s="52"/>
      <c r="W164" s="52"/>
      <c r="X164" s="52"/>
      <c r="Y164" s="52"/>
    </row>
    <row r="165">
      <c r="S165" s="52"/>
      <c r="T165" s="52"/>
      <c r="U165" s="52"/>
      <c r="V165" s="52"/>
      <c r="W165" s="52"/>
      <c r="X165" s="52"/>
      <c r="Y165" s="52"/>
    </row>
    <row r="166">
      <c r="S166" s="52"/>
      <c r="T166" s="52"/>
      <c r="U166" s="52"/>
      <c r="V166" s="52"/>
      <c r="W166" s="52"/>
      <c r="X166" s="52"/>
      <c r="Y166" s="52"/>
    </row>
    <row r="167">
      <c r="S167" s="52"/>
      <c r="T167" s="52"/>
      <c r="U167" s="52"/>
      <c r="V167" s="52"/>
      <c r="W167" s="52"/>
      <c r="X167" s="52"/>
      <c r="Y167" s="52"/>
    </row>
    <row r="168">
      <c r="S168" s="52"/>
      <c r="T168" s="52"/>
      <c r="U168" s="52"/>
      <c r="V168" s="52"/>
      <c r="W168" s="52"/>
      <c r="X168" s="52"/>
      <c r="Y168" s="52"/>
    </row>
    <row r="169">
      <c r="S169" s="52"/>
      <c r="T169" s="52"/>
      <c r="U169" s="52"/>
      <c r="V169" s="52"/>
      <c r="W169" s="52"/>
      <c r="X169" s="52"/>
      <c r="Y169" s="52"/>
    </row>
    <row r="170">
      <c r="S170" s="52"/>
      <c r="T170" s="52"/>
      <c r="U170" s="52"/>
      <c r="V170" s="52"/>
      <c r="W170" s="52"/>
      <c r="X170" s="52"/>
      <c r="Y170" s="52"/>
    </row>
    <row r="171">
      <c r="S171" s="52"/>
      <c r="T171" s="52"/>
      <c r="U171" s="52"/>
      <c r="V171" s="52"/>
      <c r="W171" s="52"/>
      <c r="X171" s="52"/>
      <c r="Y171" s="52"/>
    </row>
    <row r="172">
      <c r="S172" s="52"/>
      <c r="T172" s="52"/>
      <c r="U172" s="52"/>
      <c r="V172" s="52"/>
      <c r="W172" s="52"/>
      <c r="X172" s="52"/>
      <c r="Y172" s="52"/>
    </row>
    <row r="173">
      <c r="S173" s="52"/>
      <c r="T173" s="52"/>
      <c r="U173" s="52"/>
      <c r="V173" s="52"/>
      <c r="W173" s="52"/>
      <c r="X173" s="52"/>
      <c r="Y173" s="52"/>
    </row>
    <row r="174">
      <c r="S174" s="52"/>
      <c r="T174" s="52"/>
      <c r="U174" s="52"/>
      <c r="V174" s="52"/>
      <c r="W174" s="52"/>
      <c r="X174" s="52"/>
      <c r="Y174" s="52"/>
    </row>
    <row r="175">
      <c r="S175" s="52"/>
      <c r="T175" s="52"/>
      <c r="U175" s="52"/>
      <c r="V175" s="52"/>
      <c r="W175" s="52"/>
      <c r="X175" s="52"/>
      <c r="Y175" s="52"/>
    </row>
    <row r="176">
      <c r="S176" s="52"/>
      <c r="T176" s="52"/>
      <c r="U176" s="52"/>
      <c r="V176" s="52"/>
      <c r="W176" s="52"/>
      <c r="X176" s="52"/>
      <c r="Y176" s="52"/>
    </row>
    <row r="177">
      <c r="S177" s="52"/>
      <c r="T177" s="52"/>
      <c r="U177" s="52"/>
      <c r="V177" s="52"/>
      <c r="W177" s="52"/>
      <c r="X177" s="52"/>
      <c r="Y177" s="52"/>
    </row>
    <row r="178">
      <c r="S178" s="52"/>
      <c r="T178" s="52"/>
      <c r="U178" s="52"/>
      <c r="V178" s="52"/>
      <c r="W178" s="52"/>
      <c r="X178" s="52"/>
      <c r="Y178" s="52"/>
    </row>
    <row r="179">
      <c r="S179" s="52"/>
      <c r="T179" s="52"/>
      <c r="U179" s="52"/>
      <c r="V179" s="52"/>
      <c r="W179" s="52"/>
      <c r="X179" s="52"/>
      <c r="Y179" s="52"/>
    </row>
    <row r="180">
      <c r="S180" s="52"/>
      <c r="T180" s="52"/>
      <c r="U180" s="52"/>
      <c r="V180" s="52"/>
      <c r="W180" s="52"/>
      <c r="X180" s="52"/>
      <c r="Y180" s="52"/>
    </row>
    <row r="181">
      <c r="S181" s="52"/>
      <c r="T181" s="52"/>
      <c r="U181" s="52"/>
      <c r="V181" s="52"/>
      <c r="W181" s="52"/>
      <c r="X181" s="52"/>
      <c r="Y181" s="52"/>
    </row>
    <row r="182">
      <c r="S182" s="52"/>
      <c r="T182" s="52"/>
      <c r="U182" s="52"/>
      <c r="V182" s="52"/>
      <c r="W182" s="52"/>
      <c r="X182" s="52"/>
      <c r="Y182" s="52"/>
    </row>
    <row r="183">
      <c r="S183" s="52"/>
      <c r="T183" s="52"/>
      <c r="U183" s="52"/>
      <c r="V183" s="52"/>
      <c r="W183" s="52"/>
      <c r="X183" s="52"/>
      <c r="Y183" s="52"/>
    </row>
    <row r="184">
      <c r="S184" s="52"/>
      <c r="T184" s="52"/>
      <c r="U184" s="52"/>
      <c r="V184" s="52"/>
      <c r="W184" s="52"/>
      <c r="X184" s="52"/>
      <c r="Y184" s="52"/>
    </row>
    <row r="185">
      <c r="S185" s="52"/>
      <c r="T185" s="52"/>
      <c r="U185" s="52"/>
      <c r="V185" s="52"/>
      <c r="W185" s="52"/>
      <c r="X185" s="52"/>
      <c r="Y185" s="52"/>
    </row>
    <row r="186">
      <c r="S186" s="52"/>
      <c r="T186" s="52"/>
      <c r="U186" s="52"/>
      <c r="V186" s="52"/>
      <c r="W186" s="52"/>
      <c r="X186" s="52"/>
      <c r="Y186" s="52"/>
    </row>
    <row r="187">
      <c r="S187" s="52"/>
      <c r="T187" s="52"/>
      <c r="U187" s="52"/>
      <c r="V187" s="52"/>
      <c r="W187" s="52"/>
      <c r="X187" s="52"/>
      <c r="Y187" s="52"/>
    </row>
    <row r="188">
      <c r="S188" s="52"/>
      <c r="T188" s="52"/>
      <c r="U188" s="52"/>
      <c r="V188" s="52"/>
      <c r="W188" s="52"/>
      <c r="X188" s="52"/>
      <c r="Y188" s="52"/>
    </row>
    <row r="189">
      <c r="S189" s="52"/>
      <c r="T189" s="52"/>
      <c r="U189" s="52"/>
      <c r="V189" s="52"/>
      <c r="W189" s="52"/>
      <c r="X189" s="52"/>
      <c r="Y189" s="52"/>
    </row>
    <row r="190">
      <c r="S190" s="52"/>
      <c r="T190" s="52"/>
      <c r="U190" s="52"/>
      <c r="V190" s="52"/>
      <c r="W190" s="52"/>
      <c r="X190" s="52"/>
      <c r="Y190" s="52"/>
    </row>
    <row r="191">
      <c r="S191" s="52"/>
      <c r="T191" s="52"/>
      <c r="U191" s="52"/>
      <c r="V191" s="52"/>
      <c r="W191" s="52"/>
      <c r="X191" s="52"/>
      <c r="Y191" s="52"/>
    </row>
    <row r="192">
      <c r="S192" s="52"/>
      <c r="T192" s="52"/>
      <c r="U192" s="52"/>
      <c r="V192" s="52"/>
      <c r="W192" s="52"/>
      <c r="X192" s="52"/>
      <c r="Y192" s="52"/>
    </row>
    <row r="193">
      <c r="S193" s="52"/>
      <c r="T193" s="52"/>
      <c r="U193" s="52"/>
      <c r="V193" s="52"/>
      <c r="W193" s="52"/>
      <c r="X193" s="52"/>
      <c r="Y193" s="52"/>
    </row>
    <row r="194">
      <c r="S194" s="52"/>
      <c r="T194" s="52"/>
      <c r="U194" s="52"/>
      <c r="V194" s="52"/>
      <c r="W194" s="52"/>
      <c r="X194" s="52"/>
      <c r="Y194" s="52"/>
    </row>
    <row r="195">
      <c r="S195" s="52"/>
      <c r="T195" s="52"/>
      <c r="U195" s="52"/>
      <c r="V195" s="52"/>
      <c r="W195" s="52"/>
      <c r="X195" s="52"/>
      <c r="Y195" s="52"/>
    </row>
    <row r="196">
      <c r="S196" s="52"/>
      <c r="T196" s="52"/>
      <c r="U196" s="52"/>
      <c r="V196" s="52"/>
      <c r="W196" s="52"/>
      <c r="X196" s="52"/>
      <c r="Y196" s="52"/>
    </row>
    <row r="197">
      <c r="S197" s="52"/>
      <c r="T197" s="52"/>
      <c r="U197" s="52"/>
      <c r="V197" s="52"/>
      <c r="W197" s="52"/>
      <c r="X197" s="52"/>
      <c r="Y197" s="52"/>
    </row>
    <row r="198">
      <c r="S198" s="52"/>
      <c r="T198" s="52"/>
      <c r="U198" s="52"/>
      <c r="V198" s="52"/>
      <c r="W198" s="52"/>
      <c r="X198" s="52"/>
      <c r="Y198" s="52"/>
    </row>
    <row r="199">
      <c r="S199" s="52"/>
      <c r="T199" s="52"/>
      <c r="U199" s="52"/>
      <c r="V199" s="52"/>
      <c r="W199" s="52"/>
      <c r="X199" s="52"/>
      <c r="Y199" s="52"/>
    </row>
    <row r="200">
      <c r="S200" s="52"/>
      <c r="T200" s="52"/>
      <c r="U200" s="52"/>
      <c r="V200" s="52"/>
      <c r="W200" s="52"/>
      <c r="X200" s="52"/>
      <c r="Y200" s="52"/>
    </row>
    <row r="201">
      <c r="S201" s="52"/>
      <c r="T201" s="52"/>
      <c r="U201" s="52"/>
      <c r="V201" s="52"/>
      <c r="W201" s="52"/>
      <c r="X201" s="52"/>
      <c r="Y201" s="52"/>
    </row>
    <row r="202">
      <c r="S202" s="52"/>
      <c r="T202" s="52"/>
      <c r="U202" s="52"/>
      <c r="V202" s="52"/>
      <c r="W202" s="52"/>
      <c r="X202" s="52"/>
      <c r="Y202" s="52"/>
    </row>
    <row r="203">
      <c r="S203" s="52"/>
      <c r="T203" s="52"/>
      <c r="U203" s="52"/>
      <c r="V203" s="52"/>
      <c r="W203" s="52"/>
      <c r="X203" s="52"/>
      <c r="Y203" s="52"/>
    </row>
    <row r="204">
      <c r="S204" s="52"/>
      <c r="T204" s="52"/>
      <c r="U204" s="52"/>
      <c r="V204" s="52"/>
      <c r="W204" s="52"/>
      <c r="X204" s="52"/>
      <c r="Y204" s="52"/>
    </row>
    <row r="205">
      <c r="S205" s="52"/>
      <c r="T205" s="52"/>
      <c r="U205" s="52"/>
      <c r="V205" s="52"/>
      <c r="W205" s="52"/>
      <c r="X205" s="52"/>
      <c r="Y205" s="52"/>
    </row>
    <row r="206">
      <c r="S206" s="52"/>
      <c r="T206" s="52"/>
      <c r="U206" s="52"/>
      <c r="V206" s="52"/>
      <c r="W206" s="52"/>
      <c r="X206" s="52"/>
      <c r="Y206" s="52"/>
    </row>
    <row r="207">
      <c r="S207" s="52"/>
      <c r="T207" s="52"/>
      <c r="U207" s="52"/>
      <c r="V207" s="52"/>
      <c r="W207" s="52"/>
      <c r="X207" s="52"/>
      <c r="Y207" s="52"/>
    </row>
    <row r="208">
      <c r="S208" s="52"/>
      <c r="T208" s="52"/>
      <c r="U208" s="52"/>
      <c r="V208" s="52"/>
      <c r="W208" s="52"/>
      <c r="X208" s="52"/>
      <c r="Y208" s="52"/>
    </row>
    <row r="209">
      <c r="S209" s="52"/>
      <c r="T209" s="52"/>
      <c r="U209" s="52"/>
      <c r="V209" s="52"/>
      <c r="W209" s="52"/>
      <c r="X209" s="52"/>
      <c r="Y209" s="52"/>
    </row>
    <row r="210">
      <c r="S210" s="52"/>
      <c r="T210" s="52"/>
      <c r="U210" s="52"/>
      <c r="V210" s="52"/>
      <c r="W210" s="52"/>
      <c r="X210" s="52"/>
      <c r="Y210" s="52"/>
    </row>
    <row r="211">
      <c r="S211" s="52"/>
      <c r="T211" s="52"/>
      <c r="U211" s="52"/>
      <c r="V211" s="52"/>
      <c r="W211" s="52"/>
      <c r="X211" s="52"/>
      <c r="Y211" s="52"/>
    </row>
    <row r="212">
      <c r="S212" s="52"/>
      <c r="T212" s="52"/>
      <c r="U212" s="52"/>
      <c r="V212" s="52"/>
      <c r="W212" s="52"/>
      <c r="X212" s="52"/>
      <c r="Y212" s="52"/>
    </row>
    <row r="213">
      <c r="S213" s="52"/>
      <c r="T213" s="52"/>
      <c r="U213" s="52"/>
      <c r="V213" s="52"/>
      <c r="W213" s="52"/>
      <c r="X213" s="52"/>
      <c r="Y213" s="52"/>
    </row>
    <row r="214">
      <c r="S214" s="52"/>
      <c r="T214" s="52"/>
      <c r="U214" s="52"/>
      <c r="V214" s="52"/>
      <c r="W214" s="52"/>
      <c r="X214" s="52"/>
      <c r="Y214" s="52"/>
    </row>
    <row r="215">
      <c r="S215" s="52"/>
      <c r="T215" s="52"/>
      <c r="U215" s="52"/>
      <c r="V215" s="52"/>
      <c r="W215" s="52"/>
      <c r="X215" s="52"/>
      <c r="Y215" s="52"/>
    </row>
    <row r="216">
      <c r="S216" s="52"/>
      <c r="T216" s="52"/>
      <c r="U216" s="52"/>
      <c r="V216" s="52"/>
      <c r="W216" s="52"/>
      <c r="X216" s="52"/>
      <c r="Y216" s="52"/>
    </row>
    <row r="217">
      <c r="S217" s="52"/>
      <c r="T217" s="52"/>
      <c r="U217" s="52"/>
      <c r="V217" s="52"/>
      <c r="W217" s="52"/>
      <c r="X217" s="52"/>
      <c r="Y217" s="52"/>
    </row>
    <row r="218">
      <c r="S218" s="52"/>
      <c r="T218" s="52"/>
      <c r="U218" s="52"/>
      <c r="V218" s="52"/>
      <c r="W218" s="52"/>
      <c r="X218" s="52"/>
      <c r="Y218" s="52"/>
    </row>
    <row r="219">
      <c r="S219" s="52"/>
      <c r="T219" s="52"/>
      <c r="U219" s="52"/>
      <c r="V219" s="52"/>
      <c r="W219" s="52"/>
      <c r="X219" s="52"/>
      <c r="Y219" s="52"/>
    </row>
    <row r="220">
      <c r="S220" s="52"/>
      <c r="T220" s="52"/>
      <c r="U220" s="52"/>
      <c r="V220" s="52"/>
      <c r="W220" s="52"/>
      <c r="X220" s="52"/>
      <c r="Y220" s="52"/>
    </row>
    <row r="221">
      <c r="S221" s="52"/>
      <c r="T221" s="52"/>
      <c r="U221" s="52"/>
      <c r="V221" s="52"/>
      <c r="W221" s="52"/>
      <c r="X221" s="52"/>
      <c r="Y221" s="52"/>
    </row>
    <row r="222">
      <c r="S222" s="52"/>
      <c r="T222" s="52"/>
      <c r="U222" s="52"/>
      <c r="V222" s="52"/>
      <c r="W222" s="52"/>
      <c r="X222" s="52"/>
      <c r="Y222" s="52"/>
    </row>
    <row r="223">
      <c r="S223" s="52"/>
      <c r="T223" s="52"/>
      <c r="U223" s="52"/>
      <c r="V223" s="52"/>
      <c r="W223" s="52"/>
      <c r="X223" s="52"/>
      <c r="Y223" s="52"/>
    </row>
    <row r="224">
      <c r="S224" s="52"/>
      <c r="T224" s="52"/>
      <c r="U224" s="52"/>
      <c r="V224" s="52"/>
      <c r="W224" s="52"/>
      <c r="X224" s="52"/>
      <c r="Y224" s="52"/>
    </row>
    <row r="225">
      <c r="S225" s="52"/>
      <c r="T225" s="52"/>
      <c r="U225" s="52"/>
      <c r="V225" s="52"/>
      <c r="W225" s="52"/>
      <c r="X225" s="52"/>
      <c r="Y225" s="52"/>
    </row>
    <row r="226">
      <c r="S226" s="52"/>
      <c r="T226" s="52"/>
      <c r="U226" s="52"/>
      <c r="V226" s="52"/>
      <c r="W226" s="52"/>
      <c r="X226" s="52"/>
      <c r="Y226" s="52"/>
    </row>
    <row r="227">
      <c r="S227" s="52"/>
      <c r="T227" s="52"/>
      <c r="U227" s="52"/>
      <c r="V227" s="52"/>
      <c r="W227" s="52"/>
      <c r="X227" s="52"/>
      <c r="Y227" s="52"/>
    </row>
    <row r="228">
      <c r="S228" s="52"/>
      <c r="T228" s="52"/>
      <c r="U228" s="52"/>
      <c r="V228" s="52"/>
      <c r="W228" s="52"/>
      <c r="X228" s="52"/>
      <c r="Y228" s="52"/>
    </row>
    <row r="229">
      <c r="S229" s="52"/>
      <c r="T229" s="52"/>
      <c r="U229" s="52"/>
      <c r="V229" s="52"/>
      <c r="W229" s="52"/>
      <c r="X229" s="52"/>
      <c r="Y229" s="52"/>
    </row>
    <row r="230">
      <c r="S230" s="52"/>
      <c r="T230" s="52"/>
      <c r="U230" s="52"/>
      <c r="V230" s="52"/>
      <c r="W230" s="52"/>
      <c r="X230" s="52"/>
      <c r="Y230" s="52"/>
    </row>
    <row r="231">
      <c r="S231" s="52"/>
      <c r="T231" s="52"/>
      <c r="U231" s="52"/>
      <c r="V231" s="52"/>
      <c r="W231" s="52"/>
      <c r="X231" s="52"/>
      <c r="Y231" s="52"/>
    </row>
    <row r="232">
      <c r="S232" s="52"/>
      <c r="T232" s="52"/>
      <c r="U232" s="52"/>
      <c r="V232" s="52"/>
      <c r="W232" s="52"/>
      <c r="X232" s="52"/>
      <c r="Y232" s="52"/>
    </row>
    <row r="233">
      <c r="S233" s="52"/>
      <c r="T233" s="52"/>
      <c r="U233" s="52"/>
      <c r="V233" s="52"/>
      <c r="W233" s="52"/>
      <c r="X233" s="52"/>
      <c r="Y233" s="52"/>
    </row>
    <row r="234">
      <c r="S234" s="52"/>
      <c r="T234" s="52"/>
      <c r="U234" s="52"/>
      <c r="V234" s="52"/>
      <c r="W234" s="52"/>
      <c r="X234" s="52"/>
      <c r="Y234" s="52"/>
    </row>
    <row r="235">
      <c r="S235" s="52"/>
      <c r="T235" s="52"/>
      <c r="U235" s="52"/>
      <c r="V235" s="52"/>
      <c r="W235" s="52"/>
      <c r="X235" s="52"/>
      <c r="Y235" s="52"/>
    </row>
    <row r="236">
      <c r="S236" s="52"/>
      <c r="T236" s="52"/>
      <c r="U236" s="52"/>
      <c r="V236" s="52"/>
      <c r="W236" s="52"/>
      <c r="X236" s="52"/>
      <c r="Y236" s="52"/>
    </row>
    <row r="237">
      <c r="S237" s="52"/>
      <c r="T237" s="52"/>
      <c r="U237" s="52"/>
      <c r="V237" s="52"/>
      <c r="W237" s="52"/>
      <c r="X237" s="52"/>
      <c r="Y237" s="52"/>
    </row>
    <row r="238">
      <c r="S238" s="52"/>
      <c r="T238" s="52"/>
      <c r="U238" s="52"/>
      <c r="V238" s="52"/>
      <c r="W238" s="52"/>
      <c r="X238" s="52"/>
      <c r="Y238" s="52"/>
    </row>
    <row r="239">
      <c r="S239" s="52"/>
      <c r="T239" s="52"/>
      <c r="U239" s="52"/>
      <c r="V239" s="52"/>
      <c r="W239" s="52"/>
      <c r="X239" s="52"/>
      <c r="Y239" s="52"/>
    </row>
    <row r="240">
      <c r="S240" s="52"/>
      <c r="T240" s="52"/>
      <c r="U240" s="52"/>
      <c r="V240" s="52"/>
      <c r="W240" s="52"/>
      <c r="X240" s="52"/>
      <c r="Y240" s="52"/>
    </row>
    <row r="241">
      <c r="S241" s="52"/>
      <c r="T241" s="52"/>
      <c r="U241" s="52"/>
      <c r="V241" s="52"/>
      <c r="W241" s="52"/>
      <c r="X241" s="52"/>
      <c r="Y241" s="52"/>
    </row>
    <row r="242">
      <c r="S242" s="52"/>
      <c r="T242" s="52"/>
      <c r="U242" s="52"/>
      <c r="V242" s="52"/>
      <c r="W242" s="52"/>
      <c r="X242" s="52"/>
      <c r="Y242" s="52"/>
    </row>
    <row r="243">
      <c r="S243" s="52"/>
      <c r="T243" s="52"/>
      <c r="U243" s="52"/>
      <c r="V243" s="52"/>
      <c r="W243" s="52"/>
      <c r="X243" s="52"/>
      <c r="Y243" s="52"/>
    </row>
    <row r="244">
      <c r="S244" s="52"/>
      <c r="T244" s="52"/>
      <c r="U244" s="52"/>
      <c r="V244" s="52"/>
      <c r="W244" s="52"/>
      <c r="X244" s="52"/>
      <c r="Y244" s="52"/>
    </row>
    <row r="245">
      <c r="S245" s="52"/>
      <c r="T245" s="52"/>
      <c r="U245" s="52"/>
      <c r="V245" s="52"/>
      <c r="W245" s="52"/>
      <c r="X245" s="52"/>
      <c r="Y245" s="52"/>
    </row>
    <row r="246">
      <c r="S246" s="52"/>
      <c r="T246" s="52"/>
      <c r="U246" s="52"/>
      <c r="V246" s="52"/>
      <c r="W246" s="52"/>
      <c r="X246" s="52"/>
      <c r="Y246" s="52"/>
    </row>
    <row r="247">
      <c r="S247" s="52"/>
      <c r="T247" s="52"/>
      <c r="U247" s="52"/>
      <c r="V247" s="52"/>
      <c r="W247" s="52"/>
      <c r="X247" s="52"/>
      <c r="Y247" s="52"/>
    </row>
    <row r="248">
      <c r="S248" s="52"/>
      <c r="T248" s="52"/>
      <c r="U248" s="52"/>
      <c r="V248" s="52"/>
      <c r="W248" s="52"/>
      <c r="X248" s="52"/>
      <c r="Y248" s="52"/>
    </row>
    <row r="249">
      <c r="S249" s="52"/>
      <c r="T249" s="52"/>
      <c r="U249" s="52"/>
      <c r="V249" s="52"/>
      <c r="W249" s="52"/>
      <c r="X249" s="52"/>
      <c r="Y249" s="52"/>
    </row>
    <row r="250">
      <c r="S250" s="52"/>
      <c r="T250" s="52"/>
      <c r="U250" s="52"/>
      <c r="V250" s="52"/>
      <c r="W250" s="52"/>
      <c r="X250" s="52"/>
      <c r="Y250" s="52"/>
    </row>
    <row r="251">
      <c r="S251" s="52"/>
      <c r="T251" s="52"/>
      <c r="U251" s="52"/>
      <c r="V251" s="52"/>
      <c r="W251" s="52"/>
      <c r="X251" s="52"/>
      <c r="Y251" s="52"/>
    </row>
    <row r="252">
      <c r="S252" s="52"/>
      <c r="T252" s="52"/>
      <c r="U252" s="52"/>
      <c r="V252" s="52"/>
      <c r="W252" s="52"/>
      <c r="X252" s="52"/>
      <c r="Y252" s="52"/>
    </row>
    <row r="253">
      <c r="S253" s="52"/>
      <c r="T253" s="52"/>
      <c r="U253" s="52"/>
      <c r="V253" s="52"/>
      <c r="W253" s="52"/>
      <c r="X253" s="52"/>
      <c r="Y253" s="52"/>
    </row>
    <row r="254">
      <c r="S254" s="52"/>
      <c r="T254" s="52"/>
      <c r="U254" s="52"/>
      <c r="V254" s="52"/>
      <c r="W254" s="52"/>
      <c r="X254" s="52"/>
      <c r="Y254" s="52"/>
    </row>
    <row r="255">
      <c r="S255" s="52"/>
      <c r="T255" s="52"/>
      <c r="U255" s="52"/>
      <c r="V255" s="52"/>
      <c r="W255" s="52"/>
      <c r="X255" s="52"/>
      <c r="Y255" s="52"/>
    </row>
    <row r="256">
      <c r="S256" s="52"/>
      <c r="T256" s="52"/>
      <c r="U256" s="52"/>
      <c r="V256" s="52"/>
      <c r="W256" s="52"/>
      <c r="X256" s="52"/>
      <c r="Y256" s="52"/>
    </row>
    <row r="257">
      <c r="S257" s="52"/>
      <c r="T257" s="52"/>
      <c r="U257" s="52"/>
      <c r="V257" s="52"/>
      <c r="W257" s="52"/>
      <c r="X257" s="52"/>
      <c r="Y257" s="52"/>
    </row>
    <row r="258">
      <c r="S258" s="52"/>
      <c r="T258" s="52"/>
      <c r="U258" s="52"/>
      <c r="V258" s="52"/>
      <c r="W258" s="52"/>
      <c r="X258" s="52"/>
      <c r="Y258" s="52"/>
    </row>
    <row r="259">
      <c r="S259" s="52"/>
      <c r="T259" s="52"/>
      <c r="U259" s="52"/>
      <c r="V259" s="52"/>
      <c r="W259" s="52"/>
      <c r="X259" s="52"/>
      <c r="Y259" s="52"/>
    </row>
    <row r="260">
      <c r="S260" s="52"/>
      <c r="T260" s="52"/>
      <c r="U260" s="52"/>
      <c r="V260" s="52"/>
      <c r="W260" s="52"/>
      <c r="X260" s="52"/>
      <c r="Y260" s="52"/>
    </row>
    <row r="261">
      <c r="S261" s="52"/>
      <c r="T261" s="52"/>
      <c r="U261" s="52"/>
      <c r="V261" s="52"/>
      <c r="W261" s="52"/>
      <c r="X261" s="52"/>
      <c r="Y261" s="52"/>
    </row>
    <row r="262">
      <c r="S262" s="52"/>
      <c r="T262" s="52"/>
      <c r="U262" s="52"/>
      <c r="V262" s="52"/>
      <c r="W262" s="52"/>
      <c r="X262" s="52"/>
      <c r="Y262" s="52"/>
    </row>
    <row r="263">
      <c r="S263" s="52"/>
      <c r="T263" s="52"/>
      <c r="U263" s="52"/>
      <c r="V263" s="52"/>
      <c r="W263" s="52"/>
      <c r="X263" s="52"/>
      <c r="Y263" s="52"/>
    </row>
    <row r="264">
      <c r="S264" s="52"/>
      <c r="T264" s="52"/>
      <c r="U264" s="52"/>
      <c r="V264" s="52"/>
      <c r="W264" s="52"/>
      <c r="X264" s="52"/>
      <c r="Y264" s="52"/>
    </row>
    <row r="265">
      <c r="S265" s="52"/>
      <c r="T265" s="52"/>
      <c r="U265" s="52"/>
      <c r="V265" s="52"/>
      <c r="W265" s="52"/>
      <c r="X265" s="52"/>
      <c r="Y265" s="52"/>
    </row>
    <row r="266">
      <c r="S266" s="52"/>
      <c r="T266" s="52"/>
      <c r="U266" s="52"/>
      <c r="V266" s="52"/>
      <c r="W266" s="52"/>
      <c r="X266" s="52"/>
      <c r="Y266" s="52"/>
    </row>
    <row r="267">
      <c r="S267" s="52"/>
      <c r="T267" s="52"/>
      <c r="U267" s="52"/>
      <c r="V267" s="52"/>
      <c r="W267" s="52"/>
      <c r="X267" s="52"/>
      <c r="Y267" s="52"/>
    </row>
    <row r="268">
      <c r="S268" s="52"/>
      <c r="T268" s="52"/>
      <c r="U268" s="52"/>
      <c r="V268" s="52"/>
      <c r="W268" s="52"/>
      <c r="X268" s="52"/>
      <c r="Y268" s="52"/>
    </row>
    <row r="269">
      <c r="S269" s="52"/>
      <c r="T269" s="52"/>
      <c r="U269" s="52"/>
      <c r="V269" s="52"/>
      <c r="W269" s="52"/>
      <c r="X269" s="52"/>
      <c r="Y269" s="52"/>
    </row>
    <row r="270">
      <c r="S270" s="52"/>
      <c r="T270" s="52"/>
      <c r="U270" s="52"/>
      <c r="V270" s="52"/>
      <c r="W270" s="52"/>
      <c r="X270" s="52"/>
      <c r="Y270" s="52"/>
    </row>
    <row r="271">
      <c r="S271" s="52"/>
      <c r="T271" s="52"/>
      <c r="U271" s="52"/>
      <c r="V271" s="52"/>
      <c r="W271" s="52"/>
      <c r="X271" s="52"/>
      <c r="Y271" s="52"/>
    </row>
    <row r="272">
      <c r="S272" s="52"/>
      <c r="T272" s="52"/>
      <c r="U272" s="52"/>
      <c r="V272" s="52"/>
      <c r="W272" s="52"/>
      <c r="X272" s="52"/>
      <c r="Y272" s="52"/>
    </row>
    <row r="273">
      <c r="S273" s="52"/>
      <c r="T273" s="52"/>
      <c r="U273" s="52"/>
      <c r="V273" s="52"/>
      <c r="W273" s="52"/>
      <c r="X273" s="52"/>
      <c r="Y273" s="52"/>
    </row>
    <row r="274">
      <c r="S274" s="52"/>
      <c r="T274" s="52"/>
      <c r="U274" s="52"/>
      <c r="V274" s="52"/>
      <c r="W274" s="52"/>
      <c r="X274" s="52"/>
      <c r="Y274" s="52"/>
    </row>
    <row r="275">
      <c r="S275" s="52"/>
      <c r="T275" s="52"/>
      <c r="U275" s="52"/>
      <c r="V275" s="52"/>
      <c r="W275" s="52"/>
      <c r="X275" s="52"/>
      <c r="Y275" s="52"/>
    </row>
    <row r="276">
      <c r="S276" s="52"/>
      <c r="T276" s="52"/>
      <c r="U276" s="52"/>
      <c r="V276" s="52"/>
      <c r="W276" s="52"/>
      <c r="X276" s="52"/>
      <c r="Y276" s="52"/>
    </row>
    <row r="277">
      <c r="S277" s="52"/>
      <c r="T277" s="52"/>
      <c r="U277" s="52"/>
      <c r="V277" s="52"/>
      <c r="W277" s="52"/>
      <c r="X277" s="52"/>
      <c r="Y277" s="52"/>
    </row>
    <row r="278">
      <c r="S278" s="52"/>
      <c r="T278" s="52"/>
      <c r="U278" s="52"/>
      <c r="V278" s="52"/>
      <c r="W278" s="52"/>
      <c r="X278" s="52"/>
      <c r="Y278" s="52"/>
    </row>
    <row r="279">
      <c r="S279" s="52"/>
      <c r="T279" s="52"/>
      <c r="U279" s="52"/>
      <c r="V279" s="52"/>
      <c r="W279" s="52"/>
      <c r="X279" s="52"/>
      <c r="Y279" s="52"/>
    </row>
    <row r="280">
      <c r="S280" s="52"/>
      <c r="T280" s="52"/>
      <c r="U280" s="52"/>
      <c r="V280" s="52"/>
      <c r="W280" s="52"/>
      <c r="X280" s="52"/>
      <c r="Y280" s="52"/>
    </row>
    <row r="281">
      <c r="S281" s="52"/>
      <c r="T281" s="52"/>
      <c r="U281" s="52"/>
      <c r="V281" s="52"/>
      <c r="W281" s="52"/>
      <c r="X281" s="52"/>
      <c r="Y281" s="52"/>
    </row>
    <row r="282">
      <c r="S282" s="52"/>
      <c r="T282" s="52"/>
      <c r="U282" s="52"/>
      <c r="V282" s="52"/>
      <c r="W282" s="52"/>
      <c r="X282" s="52"/>
      <c r="Y282" s="52"/>
    </row>
    <row r="283">
      <c r="S283" s="52"/>
      <c r="T283" s="52"/>
      <c r="U283" s="52"/>
      <c r="V283" s="52"/>
      <c r="W283" s="52"/>
      <c r="X283" s="52"/>
      <c r="Y283" s="52"/>
    </row>
    <row r="284">
      <c r="S284" s="52"/>
      <c r="T284" s="52"/>
      <c r="U284" s="52"/>
      <c r="V284" s="52"/>
      <c r="W284" s="52"/>
      <c r="X284" s="52"/>
      <c r="Y284" s="52"/>
    </row>
    <row r="285">
      <c r="S285" s="52"/>
      <c r="T285" s="52"/>
      <c r="U285" s="52"/>
      <c r="V285" s="52"/>
      <c r="W285" s="52"/>
      <c r="X285" s="52"/>
      <c r="Y285" s="52"/>
    </row>
    <row r="286">
      <c r="S286" s="52"/>
      <c r="T286" s="52"/>
      <c r="U286" s="52"/>
      <c r="V286" s="52"/>
      <c r="W286" s="52"/>
      <c r="X286" s="52"/>
      <c r="Y286" s="52"/>
    </row>
    <row r="287">
      <c r="S287" s="52"/>
      <c r="T287" s="52"/>
      <c r="U287" s="52"/>
      <c r="V287" s="52"/>
      <c r="W287" s="52"/>
      <c r="X287" s="52"/>
      <c r="Y287" s="52"/>
    </row>
    <row r="288">
      <c r="S288" s="52"/>
      <c r="T288" s="52"/>
      <c r="U288" s="52"/>
      <c r="V288" s="52"/>
      <c r="W288" s="52"/>
      <c r="X288" s="52"/>
      <c r="Y288" s="52"/>
    </row>
    <row r="289">
      <c r="S289" s="52"/>
      <c r="T289" s="52"/>
      <c r="U289" s="52"/>
      <c r="V289" s="52"/>
      <c r="W289" s="52"/>
      <c r="X289" s="52"/>
      <c r="Y289" s="52"/>
    </row>
    <row r="290">
      <c r="S290" s="52"/>
      <c r="T290" s="52"/>
      <c r="U290" s="52"/>
      <c r="V290" s="52"/>
      <c r="W290" s="52"/>
      <c r="X290" s="52"/>
      <c r="Y290" s="52"/>
    </row>
    <row r="291">
      <c r="S291" s="52"/>
      <c r="T291" s="52"/>
      <c r="U291" s="52"/>
      <c r="V291" s="52"/>
      <c r="W291" s="52"/>
      <c r="X291" s="52"/>
      <c r="Y291" s="52"/>
    </row>
    <row r="292">
      <c r="S292" s="52"/>
      <c r="T292" s="52"/>
      <c r="U292" s="52"/>
      <c r="V292" s="52"/>
      <c r="W292" s="52"/>
      <c r="X292" s="52"/>
      <c r="Y292" s="52"/>
    </row>
    <row r="293">
      <c r="S293" s="52"/>
      <c r="T293" s="52"/>
      <c r="U293" s="52"/>
      <c r="V293" s="52"/>
      <c r="W293" s="52"/>
      <c r="X293" s="52"/>
      <c r="Y293" s="52"/>
    </row>
    <row r="294">
      <c r="S294" s="52"/>
      <c r="T294" s="52"/>
      <c r="U294" s="52"/>
      <c r="V294" s="52"/>
      <c r="W294" s="52"/>
      <c r="X294" s="52"/>
      <c r="Y294" s="52"/>
    </row>
    <row r="295">
      <c r="S295" s="52"/>
      <c r="T295" s="52"/>
      <c r="U295" s="52"/>
      <c r="V295" s="52"/>
      <c r="W295" s="52"/>
      <c r="X295" s="52"/>
      <c r="Y295" s="52"/>
    </row>
    <row r="296">
      <c r="S296" s="52"/>
      <c r="T296" s="52"/>
      <c r="U296" s="52"/>
      <c r="V296" s="52"/>
      <c r="W296" s="52"/>
      <c r="X296" s="52"/>
      <c r="Y296" s="52"/>
    </row>
    <row r="297">
      <c r="S297" s="52"/>
      <c r="T297" s="52"/>
      <c r="U297" s="52"/>
      <c r="V297" s="52"/>
      <c r="W297" s="52"/>
      <c r="X297" s="52"/>
      <c r="Y297" s="52"/>
    </row>
    <row r="298">
      <c r="S298" s="52"/>
      <c r="T298" s="52"/>
      <c r="U298" s="52"/>
      <c r="V298" s="52"/>
      <c r="W298" s="52"/>
      <c r="X298" s="52"/>
      <c r="Y298" s="52"/>
    </row>
    <row r="299">
      <c r="S299" s="52"/>
      <c r="T299" s="52"/>
      <c r="U299" s="52"/>
      <c r="V299" s="52"/>
      <c r="W299" s="52"/>
      <c r="X299" s="52"/>
      <c r="Y299" s="52"/>
    </row>
    <row r="300">
      <c r="S300" s="52"/>
      <c r="T300" s="52"/>
      <c r="U300" s="52"/>
      <c r="V300" s="52"/>
      <c r="W300" s="52"/>
      <c r="X300" s="52"/>
      <c r="Y300" s="52"/>
    </row>
    <row r="301">
      <c r="S301" s="52"/>
      <c r="T301" s="52"/>
      <c r="U301" s="52"/>
      <c r="V301" s="52"/>
      <c r="W301" s="52"/>
      <c r="X301" s="52"/>
      <c r="Y301" s="52"/>
    </row>
    <row r="302">
      <c r="S302" s="52"/>
      <c r="T302" s="52"/>
      <c r="U302" s="52"/>
      <c r="V302" s="52"/>
      <c r="W302" s="52"/>
      <c r="X302" s="52"/>
      <c r="Y302" s="52"/>
    </row>
    <row r="303">
      <c r="S303" s="52"/>
      <c r="T303" s="52"/>
      <c r="U303" s="52"/>
      <c r="V303" s="52"/>
      <c r="W303" s="52"/>
      <c r="X303" s="52"/>
      <c r="Y303" s="52"/>
    </row>
    <row r="304">
      <c r="S304" s="52"/>
      <c r="T304" s="52"/>
      <c r="U304" s="52"/>
      <c r="V304" s="52"/>
      <c r="W304" s="52"/>
      <c r="X304" s="52"/>
      <c r="Y304" s="52"/>
    </row>
    <row r="305">
      <c r="S305" s="52"/>
      <c r="T305" s="52"/>
      <c r="U305" s="52"/>
      <c r="V305" s="52"/>
      <c r="W305" s="52"/>
      <c r="X305" s="52"/>
      <c r="Y305" s="52"/>
    </row>
    <row r="306">
      <c r="S306" s="52"/>
      <c r="T306" s="52"/>
      <c r="U306" s="52"/>
      <c r="V306" s="52"/>
      <c r="W306" s="52"/>
      <c r="X306" s="52"/>
      <c r="Y306" s="52"/>
    </row>
    <row r="307">
      <c r="S307" s="52"/>
      <c r="T307" s="52"/>
      <c r="U307" s="52"/>
      <c r="V307" s="52"/>
      <c r="W307" s="52"/>
      <c r="X307" s="52"/>
      <c r="Y307" s="52"/>
    </row>
    <row r="308">
      <c r="S308" s="52"/>
      <c r="T308" s="52"/>
      <c r="U308" s="52"/>
      <c r="V308" s="52"/>
      <c r="W308" s="52"/>
      <c r="X308" s="52"/>
      <c r="Y308" s="52"/>
    </row>
    <row r="309">
      <c r="S309" s="52"/>
      <c r="T309" s="52"/>
      <c r="U309" s="52"/>
      <c r="V309" s="52"/>
      <c r="W309" s="52"/>
      <c r="X309" s="52"/>
      <c r="Y309" s="52"/>
    </row>
    <row r="310">
      <c r="S310" s="52"/>
      <c r="T310" s="52"/>
      <c r="U310" s="52"/>
      <c r="V310" s="52"/>
      <c r="W310" s="52"/>
      <c r="X310" s="52"/>
      <c r="Y310" s="52"/>
    </row>
    <row r="311">
      <c r="S311" s="52"/>
      <c r="T311" s="52"/>
      <c r="U311" s="52"/>
      <c r="V311" s="52"/>
      <c r="W311" s="52"/>
      <c r="X311" s="52"/>
      <c r="Y311" s="52"/>
    </row>
    <row r="312">
      <c r="S312" s="52"/>
      <c r="T312" s="52"/>
      <c r="U312" s="52"/>
      <c r="V312" s="52"/>
      <c r="W312" s="52"/>
      <c r="X312" s="52"/>
      <c r="Y312" s="52"/>
    </row>
    <row r="313">
      <c r="S313" s="52"/>
      <c r="T313" s="52"/>
      <c r="U313" s="52"/>
      <c r="V313" s="52"/>
      <c r="W313" s="52"/>
      <c r="X313" s="52"/>
      <c r="Y313" s="52"/>
    </row>
    <row r="314">
      <c r="S314" s="52"/>
      <c r="T314" s="52"/>
      <c r="U314" s="52"/>
      <c r="V314" s="52"/>
      <c r="W314" s="52"/>
      <c r="X314" s="52"/>
      <c r="Y314" s="52"/>
    </row>
    <row r="315">
      <c r="S315" s="52"/>
      <c r="T315" s="52"/>
      <c r="U315" s="52"/>
      <c r="V315" s="52"/>
      <c r="W315" s="52"/>
      <c r="X315" s="52"/>
      <c r="Y315" s="52"/>
    </row>
    <row r="316">
      <c r="S316" s="52"/>
      <c r="T316" s="52"/>
      <c r="U316" s="52"/>
      <c r="V316" s="52"/>
      <c r="W316" s="52"/>
      <c r="X316" s="52"/>
      <c r="Y316" s="52"/>
    </row>
    <row r="317">
      <c r="S317" s="52"/>
      <c r="T317" s="52"/>
      <c r="U317" s="52"/>
      <c r="V317" s="52"/>
      <c r="W317" s="52"/>
      <c r="X317" s="52"/>
      <c r="Y317" s="52"/>
    </row>
    <row r="318">
      <c r="S318" s="52"/>
      <c r="T318" s="52"/>
      <c r="U318" s="52"/>
      <c r="V318" s="52"/>
      <c r="W318" s="52"/>
      <c r="X318" s="52"/>
      <c r="Y318" s="52"/>
    </row>
    <row r="319">
      <c r="S319" s="52"/>
      <c r="T319" s="52"/>
      <c r="U319" s="52"/>
      <c r="V319" s="52"/>
      <c r="W319" s="52"/>
      <c r="X319" s="52"/>
      <c r="Y319" s="52"/>
    </row>
    <row r="320">
      <c r="S320" s="52"/>
      <c r="T320" s="52"/>
      <c r="U320" s="52"/>
      <c r="V320" s="52"/>
      <c r="W320" s="52"/>
      <c r="X320" s="52"/>
      <c r="Y320" s="52"/>
    </row>
    <row r="321">
      <c r="S321" s="52"/>
      <c r="T321" s="52"/>
      <c r="U321" s="52"/>
      <c r="V321" s="52"/>
      <c r="W321" s="52"/>
      <c r="X321" s="52"/>
      <c r="Y321" s="52"/>
    </row>
    <row r="322">
      <c r="S322" s="52"/>
      <c r="T322" s="52"/>
      <c r="U322" s="52"/>
      <c r="V322" s="52"/>
      <c r="W322" s="52"/>
      <c r="X322" s="52"/>
      <c r="Y322" s="52"/>
    </row>
    <row r="323">
      <c r="S323" s="52"/>
      <c r="T323" s="52"/>
      <c r="U323" s="52"/>
      <c r="V323" s="52"/>
      <c r="W323" s="52"/>
      <c r="X323" s="52"/>
      <c r="Y323" s="52"/>
    </row>
    <row r="324">
      <c r="S324" s="52"/>
      <c r="T324" s="52"/>
      <c r="U324" s="52"/>
      <c r="V324" s="52"/>
      <c r="W324" s="52"/>
      <c r="X324" s="52"/>
      <c r="Y324" s="52"/>
    </row>
    <row r="325">
      <c r="S325" s="52"/>
      <c r="T325" s="52"/>
      <c r="U325" s="52"/>
      <c r="V325" s="52"/>
      <c r="W325" s="52"/>
      <c r="X325" s="52"/>
      <c r="Y325" s="52"/>
    </row>
    <row r="326">
      <c r="S326" s="52"/>
      <c r="T326" s="52"/>
      <c r="U326" s="52"/>
      <c r="V326" s="52"/>
      <c r="W326" s="52"/>
      <c r="X326" s="52"/>
      <c r="Y326" s="52"/>
    </row>
    <row r="327">
      <c r="S327" s="52"/>
      <c r="T327" s="52"/>
      <c r="U327" s="52"/>
      <c r="V327" s="52"/>
      <c r="W327" s="52"/>
      <c r="X327" s="52"/>
      <c r="Y327" s="52"/>
    </row>
    <row r="328">
      <c r="S328" s="52"/>
      <c r="T328" s="52"/>
      <c r="U328" s="52"/>
      <c r="V328" s="52"/>
      <c r="W328" s="52"/>
      <c r="X328" s="52"/>
      <c r="Y328" s="52"/>
    </row>
    <row r="329">
      <c r="S329" s="52"/>
      <c r="T329" s="52"/>
      <c r="U329" s="52"/>
      <c r="V329" s="52"/>
      <c r="W329" s="52"/>
      <c r="X329" s="52"/>
      <c r="Y329" s="52"/>
    </row>
    <row r="330">
      <c r="S330" s="52"/>
      <c r="T330" s="52"/>
      <c r="U330" s="52"/>
      <c r="V330" s="52"/>
      <c r="W330" s="52"/>
      <c r="X330" s="52"/>
      <c r="Y330" s="52"/>
    </row>
    <row r="331">
      <c r="S331" s="52"/>
      <c r="T331" s="52"/>
      <c r="U331" s="52"/>
      <c r="V331" s="52"/>
      <c r="W331" s="52"/>
      <c r="X331" s="52"/>
      <c r="Y331" s="52"/>
    </row>
    <row r="332">
      <c r="S332" s="52"/>
      <c r="T332" s="52"/>
      <c r="U332" s="52"/>
      <c r="V332" s="52"/>
      <c r="W332" s="52"/>
      <c r="X332" s="52"/>
      <c r="Y332" s="52"/>
    </row>
    <row r="333">
      <c r="S333" s="52"/>
      <c r="T333" s="52"/>
      <c r="U333" s="52"/>
      <c r="V333" s="52"/>
      <c r="W333" s="52"/>
      <c r="X333" s="52"/>
      <c r="Y333" s="52"/>
    </row>
    <row r="334">
      <c r="S334" s="52"/>
      <c r="T334" s="52"/>
      <c r="U334" s="52"/>
      <c r="V334" s="52"/>
      <c r="W334" s="52"/>
      <c r="X334" s="52"/>
      <c r="Y334" s="52"/>
    </row>
    <row r="335">
      <c r="S335" s="52"/>
      <c r="T335" s="52"/>
      <c r="U335" s="52"/>
      <c r="V335" s="52"/>
      <c r="W335" s="52"/>
      <c r="X335" s="52"/>
      <c r="Y335" s="52"/>
    </row>
    <row r="336">
      <c r="S336" s="52"/>
      <c r="T336" s="52"/>
      <c r="U336" s="52"/>
      <c r="V336" s="52"/>
      <c r="W336" s="52"/>
      <c r="X336" s="52"/>
      <c r="Y336" s="52"/>
    </row>
    <row r="337">
      <c r="S337" s="52"/>
      <c r="T337" s="52"/>
      <c r="U337" s="52"/>
      <c r="V337" s="52"/>
      <c r="W337" s="52"/>
      <c r="X337" s="52"/>
      <c r="Y337" s="52"/>
    </row>
    <row r="338">
      <c r="S338" s="52"/>
      <c r="T338" s="52"/>
      <c r="U338" s="52"/>
      <c r="V338" s="52"/>
      <c r="W338" s="52"/>
      <c r="X338" s="52"/>
      <c r="Y338" s="52"/>
    </row>
    <row r="339">
      <c r="S339" s="52"/>
      <c r="T339" s="52"/>
      <c r="U339" s="52"/>
      <c r="V339" s="52"/>
      <c r="W339" s="52"/>
      <c r="X339" s="52"/>
      <c r="Y339" s="52"/>
    </row>
    <row r="340">
      <c r="S340" s="52"/>
      <c r="T340" s="52"/>
      <c r="U340" s="52"/>
      <c r="V340" s="52"/>
      <c r="W340" s="52"/>
      <c r="X340" s="52"/>
      <c r="Y340" s="52"/>
    </row>
    <row r="341">
      <c r="S341" s="52"/>
      <c r="T341" s="52"/>
      <c r="U341" s="52"/>
      <c r="V341" s="52"/>
      <c r="W341" s="52"/>
      <c r="X341" s="52"/>
      <c r="Y341" s="52"/>
    </row>
    <row r="342">
      <c r="S342" s="52"/>
      <c r="T342" s="52"/>
      <c r="U342" s="52"/>
      <c r="V342" s="52"/>
      <c r="W342" s="52"/>
      <c r="X342" s="52"/>
      <c r="Y342" s="52"/>
    </row>
    <row r="343">
      <c r="S343" s="52"/>
      <c r="T343" s="52"/>
      <c r="U343" s="52"/>
      <c r="V343" s="52"/>
      <c r="W343" s="52"/>
      <c r="X343" s="52"/>
      <c r="Y343" s="52"/>
    </row>
    <row r="344">
      <c r="S344" s="52"/>
      <c r="T344" s="52"/>
      <c r="U344" s="52"/>
      <c r="V344" s="52"/>
      <c r="W344" s="52"/>
      <c r="X344" s="52"/>
      <c r="Y344" s="52"/>
    </row>
    <row r="345">
      <c r="S345" s="52"/>
      <c r="T345" s="52"/>
      <c r="U345" s="52"/>
      <c r="V345" s="52"/>
      <c r="W345" s="52"/>
      <c r="X345" s="52"/>
      <c r="Y345" s="52"/>
    </row>
    <row r="346">
      <c r="S346" s="52"/>
      <c r="T346" s="52"/>
      <c r="U346" s="52"/>
      <c r="V346" s="52"/>
      <c r="W346" s="52"/>
      <c r="X346" s="52"/>
      <c r="Y346" s="52"/>
    </row>
    <row r="347">
      <c r="S347" s="52"/>
      <c r="T347" s="52"/>
      <c r="U347" s="52"/>
      <c r="V347" s="52"/>
      <c r="W347" s="52"/>
      <c r="X347" s="52"/>
      <c r="Y347" s="52"/>
    </row>
    <row r="348">
      <c r="S348" s="52"/>
      <c r="T348" s="52"/>
      <c r="U348" s="52"/>
      <c r="V348" s="52"/>
      <c r="W348" s="52"/>
      <c r="X348" s="52"/>
      <c r="Y348" s="52"/>
    </row>
    <row r="349">
      <c r="S349" s="52"/>
      <c r="T349" s="52"/>
      <c r="U349" s="52"/>
      <c r="V349" s="52"/>
      <c r="W349" s="52"/>
      <c r="X349" s="52"/>
      <c r="Y349" s="52"/>
    </row>
    <row r="350">
      <c r="S350" s="52"/>
      <c r="T350" s="52"/>
      <c r="U350" s="52"/>
      <c r="V350" s="52"/>
      <c r="W350" s="52"/>
      <c r="X350" s="52"/>
      <c r="Y350" s="52"/>
    </row>
    <row r="351">
      <c r="S351" s="52"/>
      <c r="T351" s="52"/>
      <c r="U351" s="52"/>
      <c r="V351" s="52"/>
      <c r="W351" s="52"/>
      <c r="X351" s="52"/>
      <c r="Y351" s="52"/>
    </row>
    <row r="352">
      <c r="S352" s="52"/>
      <c r="T352" s="52"/>
      <c r="U352" s="52"/>
      <c r="V352" s="52"/>
      <c r="W352" s="52"/>
      <c r="X352" s="52"/>
      <c r="Y352" s="52"/>
    </row>
    <row r="353">
      <c r="S353" s="52"/>
      <c r="T353" s="52"/>
      <c r="U353" s="52"/>
      <c r="V353" s="52"/>
      <c r="W353" s="52"/>
      <c r="X353" s="52"/>
      <c r="Y353" s="52"/>
    </row>
    <row r="354">
      <c r="S354" s="52"/>
      <c r="T354" s="52"/>
      <c r="U354" s="52"/>
      <c r="V354" s="52"/>
      <c r="W354" s="52"/>
      <c r="X354" s="52"/>
      <c r="Y354" s="52"/>
    </row>
    <row r="355">
      <c r="S355" s="52"/>
      <c r="T355" s="52"/>
      <c r="U355" s="52"/>
      <c r="V355" s="52"/>
      <c r="W355" s="52"/>
      <c r="X355" s="52"/>
      <c r="Y355" s="52"/>
    </row>
    <row r="356">
      <c r="S356" s="52"/>
      <c r="T356" s="52"/>
      <c r="U356" s="52"/>
      <c r="V356" s="52"/>
      <c r="W356" s="52"/>
      <c r="X356" s="52"/>
      <c r="Y356" s="52"/>
    </row>
    <row r="357">
      <c r="S357" s="52"/>
      <c r="T357" s="52"/>
      <c r="U357" s="52"/>
      <c r="V357" s="52"/>
      <c r="W357" s="52"/>
      <c r="X357" s="52"/>
      <c r="Y357" s="52"/>
    </row>
    <row r="358">
      <c r="S358" s="52"/>
      <c r="T358" s="52"/>
      <c r="U358" s="52"/>
      <c r="V358" s="52"/>
      <c r="W358" s="52"/>
      <c r="X358" s="52"/>
      <c r="Y358" s="52"/>
    </row>
    <row r="359">
      <c r="S359" s="52"/>
      <c r="T359" s="52"/>
      <c r="U359" s="52"/>
      <c r="V359" s="52"/>
      <c r="W359" s="52"/>
      <c r="X359" s="52"/>
      <c r="Y359" s="52"/>
    </row>
    <row r="360">
      <c r="S360" s="52"/>
      <c r="T360" s="52"/>
      <c r="U360" s="52"/>
      <c r="V360" s="52"/>
      <c r="W360" s="52"/>
      <c r="X360" s="52"/>
      <c r="Y360" s="52"/>
    </row>
    <row r="361">
      <c r="S361" s="52"/>
      <c r="T361" s="52"/>
      <c r="U361" s="52"/>
      <c r="V361" s="52"/>
      <c r="W361" s="52"/>
      <c r="X361" s="52"/>
      <c r="Y361" s="52"/>
    </row>
    <row r="362">
      <c r="S362" s="52"/>
      <c r="T362" s="52"/>
      <c r="U362" s="52"/>
      <c r="V362" s="52"/>
      <c r="W362" s="52"/>
      <c r="X362" s="52"/>
      <c r="Y362" s="52"/>
    </row>
    <row r="363">
      <c r="S363" s="52"/>
      <c r="T363" s="52"/>
      <c r="U363" s="52"/>
      <c r="V363" s="52"/>
      <c r="W363" s="52"/>
      <c r="X363" s="52"/>
      <c r="Y363" s="52"/>
    </row>
    <row r="364">
      <c r="S364" s="52"/>
      <c r="T364" s="52"/>
      <c r="U364" s="52"/>
      <c r="V364" s="52"/>
      <c r="W364" s="52"/>
      <c r="X364" s="52"/>
      <c r="Y364" s="52"/>
    </row>
    <row r="365">
      <c r="S365" s="52"/>
      <c r="T365" s="52"/>
      <c r="U365" s="52"/>
      <c r="V365" s="52"/>
      <c r="W365" s="52"/>
      <c r="X365" s="52"/>
      <c r="Y365" s="52"/>
    </row>
    <row r="366">
      <c r="S366" s="52"/>
      <c r="T366" s="52"/>
      <c r="U366" s="52"/>
      <c r="V366" s="52"/>
      <c r="W366" s="52"/>
      <c r="X366" s="52"/>
      <c r="Y366" s="52"/>
    </row>
    <row r="367">
      <c r="S367" s="52"/>
      <c r="T367" s="52"/>
      <c r="U367" s="52"/>
      <c r="V367" s="52"/>
      <c r="W367" s="52"/>
      <c r="X367" s="52"/>
      <c r="Y367" s="52"/>
    </row>
    <row r="368">
      <c r="S368" s="52"/>
      <c r="T368" s="52"/>
      <c r="U368" s="52"/>
      <c r="V368" s="52"/>
      <c r="W368" s="52"/>
      <c r="X368" s="52"/>
      <c r="Y368" s="52"/>
    </row>
    <row r="369">
      <c r="S369" s="52"/>
      <c r="T369" s="52"/>
      <c r="U369" s="52"/>
      <c r="V369" s="52"/>
      <c r="W369" s="52"/>
      <c r="X369" s="52"/>
      <c r="Y369" s="52"/>
    </row>
    <row r="370">
      <c r="S370" s="52"/>
      <c r="T370" s="52"/>
      <c r="U370" s="52"/>
      <c r="V370" s="52"/>
      <c r="W370" s="52"/>
      <c r="X370" s="52"/>
      <c r="Y370" s="52"/>
    </row>
    <row r="371">
      <c r="S371" s="52"/>
      <c r="T371" s="52"/>
      <c r="U371" s="52"/>
      <c r="V371" s="52"/>
      <c r="W371" s="52"/>
      <c r="X371" s="52"/>
      <c r="Y371" s="52"/>
    </row>
    <row r="372">
      <c r="S372" s="52"/>
      <c r="T372" s="52"/>
      <c r="U372" s="52"/>
      <c r="V372" s="52"/>
      <c r="W372" s="52"/>
      <c r="X372" s="52"/>
      <c r="Y372" s="52"/>
    </row>
    <row r="373">
      <c r="S373" s="52"/>
      <c r="T373" s="52"/>
      <c r="U373" s="52"/>
      <c r="V373" s="52"/>
      <c r="W373" s="52"/>
      <c r="X373" s="52"/>
      <c r="Y373" s="52"/>
    </row>
    <row r="374">
      <c r="S374" s="52"/>
      <c r="T374" s="52"/>
      <c r="U374" s="52"/>
      <c r="V374" s="52"/>
      <c r="W374" s="52"/>
      <c r="X374" s="52"/>
      <c r="Y374" s="52"/>
    </row>
    <row r="375">
      <c r="S375" s="52"/>
      <c r="T375" s="52"/>
      <c r="U375" s="52"/>
      <c r="V375" s="52"/>
      <c r="W375" s="52"/>
      <c r="X375" s="52"/>
      <c r="Y375" s="52"/>
    </row>
    <row r="376">
      <c r="S376" s="52"/>
      <c r="T376" s="52"/>
      <c r="U376" s="52"/>
      <c r="V376" s="52"/>
      <c r="W376" s="52"/>
      <c r="X376" s="52"/>
      <c r="Y376" s="52"/>
    </row>
    <row r="377">
      <c r="S377" s="52"/>
      <c r="T377" s="52"/>
      <c r="U377" s="52"/>
      <c r="V377" s="52"/>
      <c r="W377" s="52"/>
      <c r="X377" s="52"/>
      <c r="Y377" s="52"/>
    </row>
    <row r="378">
      <c r="S378" s="52"/>
      <c r="T378" s="52"/>
      <c r="U378" s="52"/>
      <c r="V378" s="52"/>
      <c r="W378" s="52"/>
      <c r="X378" s="52"/>
      <c r="Y378" s="52"/>
    </row>
    <row r="379">
      <c r="S379" s="52"/>
      <c r="T379" s="52"/>
      <c r="U379" s="52"/>
      <c r="V379" s="52"/>
      <c r="W379" s="52"/>
      <c r="X379" s="52"/>
      <c r="Y379" s="52"/>
    </row>
    <row r="380">
      <c r="S380" s="52"/>
      <c r="T380" s="52"/>
      <c r="U380" s="52"/>
      <c r="V380" s="52"/>
      <c r="W380" s="52"/>
      <c r="X380" s="52"/>
      <c r="Y380" s="52"/>
    </row>
    <row r="381">
      <c r="S381" s="52"/>
      <c r="T381" s="52"/>
      <c r="U381" s="52"/>
      <c r="V381" s="52"/>
      <c r="W381" s="52"/>
      <c r="X381" s="52"/>
      <c r="Y381" s="52"/>
    </row>
    <row r="382">
      <c r="S382" s="52"/>
      <c r="T382" s="52"/>
      <c r="U382" s="52"/>
      <c r="V382" s="52"/>
      <c r="W382" s="52"/>
      <c r="X382" s="52"/>
      <c r="Y382" s="52"/>
    </row>
    <row r="383">
      <c r="S383" s="52"/>
      <c r="T383" s="52"/>
      <c r="U383" s="52"/>
      <c r="V383" s="52"/>
      <c r="W383" s="52"/>
      <c r="X383" s="52"/>
      <c r="Y383" s="52"/>
    </row>
    <row r="384">
      <c r="S384" s="52"/>
      <c r="T384" s="52"/>
      <c r="U384" s="52"/>
      <c r="V384" s="52"/>
      <c r="W384" s="52"/>
      <c r="X384" s="52"/>
      <c r="Y384" s="52"/>
    </row>
    <row r="385">
      <c r="S385" s="52"/>
      <c r="T385" s="52"/>
      <c r="U385" s="52"/>
      <c r="V385" s="52"/>
      <c r="W385" s="52"/>
      <c r="X385" s="52"/>
      <c r="Y385" s="52"/>
    </row>
    <row r="386">
      <c r="S386" s="52"/>
      <c r="T386" s="52"/>
      <c r="U386" s="52"/>
      <c r="V386" s="52"/>
      <c r="W386" s="52"/>
      <c r="X386" s="52"/>
      <c r="Y386" s="52"/>
    </row>
    <row r="387">
      <c r="S387" s="52"/>
      <c r="T387" s="52"/>
      <c r="U387" s="52"/>
      <c r="V387" s="52"/>
      <c r="W387" s="52"/>
      <c r="X387" s="52"/>
      <c r="Y387" s="52"/>
    </row>
    <row r="388">
      <c r="S388" s="52"/>
      <c r="T388" s="52"/>
      <c r="U388" s="52"/>
      <c r="V388" s="52"/>
      <c r="W388" s="52"/>
      <c r="X388" s="52"/>
      <c r="Y388" s="52"/>
    </row>
    <row r="389">
      <c r="S389" s="52"/>
      <c r="T389" s="52"/>
      <c r="U389" s="52"/>
      <c r="V389" s="52"/>
      <c r="W389" s="52"/>
      <c r="X389" s="52"/>
      <c r="Y389" s="52"/>
    </row>
    <row r="390">
      <c r="S390" s="52"/>
      <c r="T390" s="52"/>
      <c r="U390" s="52"/>
      <c r="V390" s="52"/>
      <c r="W390" s="52"/>
      <c r="X390" s="52"/>
      <c r="Y390" s="52"/>
    </row>
    <row r="391">
      <c r="S391" s="52"/>
      <c r="T391" s="52"/>
      <c r="U391" s="52"/>
      <c r="V391" s="52"/>
      <c r="W391" s="52"/>
      <c r="X391" s="52"/>
      <c r="Y391" s="52"/>
    </row>
    <row r="392">
      <c r="S392" s="52"/>
      <c r="T392" s="52"/>
      <c r="U392" s="52"/>
      <c r="V392" s="52"/>
      <c r="W392" s="52"/>
      <c r="X392" s="52"/>
      <c r="Y392" s="52"/>
    </row>
    <row r="393">
      <c r="S393" s="52"/>
      <c r="T393" s="52"/>
      <c r="U393" s="52"/>
      <c r="V393" s="52"/>
      <c r="W393" s="52"/>
      <c r="X393" s="52"/>
      <c r="Y393" s="52"/>
    </row>
    <row r="394">
      <c r="S394" s="52"/>
      <c r="T394" s="52"/>
      <c r="U394" s="52"/>
      <c r="V394" s="52"/>
      <c r="W394" s="52"/>
      <c r="X394" s="52"/>
      <c r="Y394" s="52"/>
    </row>
    <row r="395">
      <c r="S395" s="52"/>
      <c r="T395" s="52"/>
      <c r="U395" s="52"/>
      <c r="V395" s="52"/>
      <c r="W395" s="52"/>
      <c r="X395" s="52"/>
      <c r="Y395" s="52"/>
    </row>
    <row r="396">
      <c r="S396" s="52"/>
      <c r="T396" s="52"/>
      <c r="U396" s="52"/>
      <c r="V396" s="52"/>
      <c r="W396" s="52"/>
      <c r="X396" s="52"/>
      <c r="Y396" s="52"/>
    </row>
    <row r="397">
      <c r="S397" s="52"/>
      <c r="T397" s="52"/>
      <c r="U397" s="52"/>
      <c r="V397" s="52"/>
      <c r="W397" s="52"/>
      <c r="X397" s="52"/>
      <c r="Y397" s="52"/>
    </row>
    <row r="398">
      <c r="S398" s="52"/>
      <c r="T398" s="52"/>
      <c r="U398" s="52"/>
      <c r="V398" s="52"/>
      <c r="W398" s="52"/>
      <c r="X398" s="52"/>
      <c r="Y398" s="52"/>
    </row>
    <row r="399">
      <c r="S399" s="52"/>
      <c r="T399" s="52"/>
      <c r="U399" s="52"/>
      <c r="V399" s="52"/>
      <c r="W399" s="52"/>
      <c r="X399" s="52"/>
      <c r="Y399" s="52"/>
    </row>
    <row r="400">
      <c r="S400" s="52"/>
      <c r="T400" s="52"/>
      <c r="U400" s="52"/>
      <c r="V400" s="52"/>
      <c r="W400" s="52"/>
      <c r="X400" s="52"/>
      <c r="Y400" s="52"/>
    </row>
    <row r="401">
      <c r="S401" s="52"/>
      <c r="T401" s="52"/>
      <c r="U401" s="52"/>
      <c r="V401" s="52"/>
      <c r="W401" s="52"/>
      <c r="X401" s="52"/>
      <c r="Y401" s="52"/>
    </row>
    <row r="402">
      <c r="S402" s="52"/>
      <c r="T402" s="52"/>
      <c r="U402" s="52"/>
      <c r="V402" s="52"/>
      <c r="W402" s="52"/>
      <c r="X402" s="52"/>
      <c r="Y402" s="52"/>
    </row>
    <row r="403">
      <c r="S403" s="52"/>
      <c r="T403" s="52"/>
      <c r="U403" s="52"/>
      <c r="V403" s="52"/>
      <c r="W403" s="52"/>
      <c r="X403" s="52"/>
      <c r="Y403" s="52"/>
    </row>
    <row r="404">
      <c r="S404" s="52"/>
      <c r="T404" s="52"/>
      <c r="U404" s="52"/>
      <c r="V404" s="52"/>
      <c r="W404" s="52"/>
      <c r="X404" s="52"/>
      <c r="Y404" s="52"/>
    </row>
    <row r="405">
      <c r="S405" s="52"/>
      <c r="T405" s="52"/>
      <c r="U405" s="52"/>
      <c r="V405" s="52"/>
      <c r="W405" s="52"/>
      <c r="X405" s="52"/>
      <c r="Y405" s="52"/>
    </row>
    <row r="406">
      <c r="S406" s="52"/>
      <c r="T406" s="52"/>
      <c r="U406" s="52"/>
      <c r="V406" s="52"/>
      <c r="W406" s="52"/>
      <c r="X406" s="52"/>
      <c r="Y406" s="52"/>
    </row>
    <row r="407">
      <c r="S407" s="52"/>
      <c r="T407" s="52"/>
      <c r="U407" s="52"/>
      <c r="V407" s="52"/>
      <c r="W407" s="52"/>
      <c r="X407" s="52"/>
      <c r="Y407" s="52"/>
    </row>
    <row r="408">
      <c r="S408" s="52"/>
      <c r="T408" s="52"/>
      <c r="U408" s="52"/>
      <c r="V408" s="52"/>
      <c r="W408" s="52"/>
      <c r="X408" s="52"/>
      <c r="Y408" s="52"/>
    </row>
    <row r="409">
      <c r="S409" s="52"/>
      <c r="T409" s="52"/>
      <c r="U409" s="52"/>
      <c r="V409" s="52"/>
      <c r="W409" s="52"/>
      <c r="X409" s="52"/>
      <c r="Y409" s="52"/>
    </row>
    <row r="410">
      <c r="S410" s="52"/>
      <c r="T410" s="52"/>
      <c r="U410" s="52"/>
      <c r="V410" s="52"/>
      <c r="W410" s="52"/>
      <c r="X410" s="52"/>
      <c r="Y410" s="52"/>
    </row>
    <row r="411">
      <c r="S411" s="52"/>
      <c r="T411" s="52"/>
      <c r="U411" s="52"/>
      <c r="V411" s="52"/>
      <c r="W411" s="52"/>
      <c r="X411" s="52"/>
      <c r="Y411" s="52"/>
    </row>
    <row r="412">
      <c r="S412" s="52"/>
      <c r="T412" s="52"/>
      <c r="U412" s="52"/>
      <c r="V412" s="52"/>
      <c r="W412" s="52"/>
      <c r="X412" s="52"/>
      <c r="Y412" s="52"/>
    </row>
    <row r="413">
      <c r="S413" s="52"/>
      <c r="T413" s="52"/>
      <c r="U413" s="52"/>
      <c r="V413" s="52"/>
      <c r="W413" s="52"/>
      <c r="X413" s="52"/>
      <c r="Y413" s="52"/>
    </row>
    <row r="414">
      <c r="S414" s="52"/>
      <c r="T414" s="52"/>
      <c r="U414" s="52"/>
      <c r="V414" s="52"/>
      <c r="W414" s="52"/>
      <c r="X414" s="52"/>
      <c r="Y414" s="52"/>
    </row>
    <row r="415">
      <c r="S415" s="52"/>
      <c r="T415" s="52"/>
      <c r="U415" s="52"/>
      <c r="V415" s="52"/>
      <c r="W415" s="52"/>
      <c r="X415" s="52"/>
      <c r="Y415" s="52"/>
    </row>
    <row r="416">
      <c r="S416" s="52"/>
      <c r="T416" s="52"/>
      <c r="U416" s="52"/>
      <c r="V416" s="52"/>
      <c r="W416" s="52"/>
      <c r="X416" s="52"/>
      <c r="Y416" s="52"/>
    </row>
    <row r="417">
      <c r="S417" s="52"/>
      <c r="T417" s="52"/>
      <c r="U417" s="52"/>
      <c r="V417" s="52"/>
      <c r="W417" s="52"/>
      <c r="X417" s="52"/>
      <c r="Y417" s="52"/>
    </row>
    <row r="418">
      <c r="S418" s="52"/>
      <c r="T418" s="52"/>
      <c r="U418" s="52"/>
      <c r="V418" s="52"/>
      <c r="W418" s="52"/>
      <c r="X418" s="52"/>
      <c r="Y418" s="52"/>
    </row>
    <row r="419">
      <c r="S419" s="52"/>
      <c r="T419" s="52"/>
      <c r="U419" s="52"/>
      <c r="V419" s="52"/>
      <c r="W419" s="52"/>
      <c r="X419" s="52"/>
      <c r="Y419" s="52"/>
    </row>
    <row r="420">
      <c r="S420" s="52"/>
      <c r="T420" s="52"/>
      <c r="U420" s="52"/>
      <c r="V420" s="52"/>
      <c r="W420" s="52"/>
      <c r="X420" s="52"/>
      <c r="Y420" s="52"/>
    </row>
    <row r="421">
      <c r="S421" s="52"/>
      <c r="T421" s="52"/>
      <c r="U421" s="52"/>
      <c r="V421" s="52"/>
      <c r="W421" s="52"/>
      <c r="X421" s="52"/>
      <c r="Y421" s="52"/>
    </row>
    <row r="422">
      <c r="S422" s="52"/>
      <c r="T422" s="52"/>
      <c r="U422" s="52"/>
      <c r="V422" s="52"/>
      <c r="W422" s="52"/>
      <c r="X422" s="52"/>
      <c r="Y422" s="52"/>
    </row>
    <row r="423">
      <c r="S423" s="52"/>
      <c r="T423" s="52"/>
      <c r="U423" s="52"/>
      <c r="V423" s="52"/>
      <c r="W423" s="52"/>
      <c r="X423" s="52"/>
      <c r="Y423" s="52"/>
    </row>
    <row r="424">
      <c r="S424" s="52"/>
      <c r="T424" s="52"/>
      <c r="U424" s="52"/>
      <c r="V424" s="52"/>
      <c r="W424" s="52"/>
      <c r="X424" s="52"/>
      <c r="Y424" s="52"/>
    </row>
    <row r="425">
      <c r="S425" s="52"/>
      <c r="T425" s="52"/>
      <c r="U425" s="52"/>
      <c r="V425" s="52"/>
      <c r="W425" s="52"/>
      <c r="X425" s="52"/>
      <c r="Y425" s="52"/>
    </row>
    <row r="426">
      <c r="S426" s="52"/>
      <c r="T426" s="52"/>
      <c r="U426" s="52"/>
      <c r="V426" s="52"/>
      <c r="W426" s="52"/>
      <c r="X426" s="52"/>
      <c r="Y426" s="52"/>
    </row>
    <row r="427">
      <c r="S427" s="52"/>
      <c r="T427" s="52"/>
      <c r="U427" s="52"/>
      <c r="V427" s="52"/>
      <c r="W427" s="52"/>
      <c r="X427" s="52"/>
      <c r="Y427" s="52"/>
    </row>
    <row r="428">
      <c r="S428" s="52"/>
      <c r="T428" s="52"/>
      <c r="U428" s="52"/>
      <c r="V428" s="52"/>
      <c r="W428" s="52"/>
      <c r="X428" s="52"/>
      <c r="Y428" s="52"/>
    </row>
    <row r="429">
      <c r="S429" s="52"/>
      <c r="T429" s="52"/>
      <c r="U429" s="52"/>
      <c r="V429" s="52"/>
      <c r="W429" s="52"/>
      <c r="X429" s="52"/>
      <c r="Y429" s="52"/>
    </row>
    <row r="430">
      <c r="S430" s="52"/>
      <c r="T430" s="52"/>
      <c r="U430" s="52"/>
      <c r="V430" s="52"/>
      <c r="W430" s="52"/>
      <c r="X430" s="52"/>
      <c r="Y430" s="52"/>
    </row>
    <row r="431">
      <c r="S431" s="52"/>
      <c r="T431" s="52"/>
      <c r="U431" s="52"/>
      <c r="V431" s="52"/>
      <c r="W431" s="52"/>
      <c r="X431" s="52"/>
      <c r="Y431" s="52"/>
    </row>
    <row r="432">
      <c r="S432" s="52"/>
      <c r="T432" s="52"/>
      <c r="U432" s="52"/>
      <c r="V432" s="52"/>
      <c r="W432" s="52"/>
      <c r="X432" s="52"/>
      <c r="Y432" s="52"/>
    </row>
    <row r="433">
      <c r="S433" s="52"/>
      <c r="T433" s="52"/>
      <c r="U433" s="52"/>
      <c r="V433" s="52"/>
      <c r="W433" s="52"/>
      <c r="X433" s="52"/>
      <c r="Y433" s="52"/>
    </row>
    <row r="434">
      <c r="S434" s="52"/>
      <c r="T434" s="52"/>
      <c r="U434" s="52"/>
      <c r="V434" s="52"/>
      <c r="W434" s="52"/>
      <c r="X434" s="52"/>
      <c r="Y434" s="52"/>
    </row>
    <row r="435">
      <c r="S435" s="52"/>
      <c r="T435" s="52"/>
      <c r="U435" s="52"/>
      <c r="V435" s="52"/>
      <c r="W435" s="52"/>
      <c r="X435" s="52"/>
      <c r="Y435" s="52"/>
    </row>
    <row r="436">
      <c r="S436" s="52"/>
      <c r="T436" s="52"/>
      <c r="U436" s="52"/>
      <c r="V436" s="52"/>
      <c r="W436" s="52"/>
      <c r="X436" s="52"/>
      <c r="Y436" s="52"/>
    </row>
    <row r="437">
      <c r="S437" s="52"/>
      <c r="T437" s="52"/>
      <c r="U437" s="52"/>
      <c r="V437" s="52"/>
      <c r="W437" s="52"/>
      <c r="X437" s="52"/>
      <c r="Y437" s="52"/>
    </row>
    <row r="438">
      <c r="S438" s="52"/>
      <c r="T438" s="52"/>
      <c r="U438" s="52"/>
      <c r="V438" s="52"/>
      <c r="W438" s="52"/>
      <c r="X438" s="52"/>
      <c r="Y438" s="52"/>
    </row>
    <row r="439">
      <c r="S439" s="52"/>
      <c r="T439" s="52"/>
      <c r="U439" s="52"/>
      <c r="V439" s="52"/>
      <c r="W439" s="52"/>
      <c r="X439" s="52"/>
      <c r="Y439" s="52"/>
    </row>
    <row r="440">
      <c r="S440" s="52"/>
      <c r="T440" s="52"/>
      <c r="U440" s="52"/>
      <c r="V440" s="52"/>
      <c r="W440" s="52"/>
      <c r="X440" s="52"/>
      <c r="Y440" s="52"/>
    </row>
    <row r="441">
      <c r="S441" s="52"/>
      <c r="T441" s="52"/>
      <c r="U441" s="52"/>
      <c r="V441" s="52"/>
      <c r="W441" s="52"/>
      <c r="X441" s="52"/>
      <c r="Y441" s="52"/>
    </row>
    <row r="442">
      <c r="S442" s="52"/>
      <c r="T442" s="52"/>
      <c r="U442" s="52"/>
      <c r="V442" s="52"/>
      <c r="W442" s="52"/>
      <c r="X442" s="52"/>
      <c r="Y442" s="52"/>
    </row>
    <row r="443">
      <c r="S443" s="52"/>
      <c r="T443" s="52"/>
      <c r="U443" s="52"/>
      <c r="V443" s="52"/>
      <c r="W443" s="52"/>
      <c r="X443" s="52"/>
      <c r="Y443" s="52"/>
    </row>
    <row r="444">
      <c r="S444" s="52"/>
      <c r="T444" s="52"/>
      <c r="U444" s="52"/>
      <c r="V444" s="52"/>
      <c r="W444" s="52"/>
      <c r="X444" s="52"/>
      <c r="Y444" s="52"/>
    </row>
    <row r="445">
      <c r="S445" s="52"/>
      <c r="T445" s="52"/>
      <c r="U445" s="52"/>
      <c r="V445" s="52"/>
      <c r="W445" s="52"/>
      <c r="X445" s="52"/>
      <c r="Y445" s="52"/>
    </row>
    <row r="446">
      <c r="S446" s="52"/>
      <c r="T446" s="52"/>
      <c r="U446" s="52"/>
      <c r="V446" s="52"/>
      <c r="W446" s="52"/>
      <c r="X446" s="52"/>
      <c r="Y446" s="52"/>
    </row>
    <row r="447">
      <c r="S447" s="52"/>
      <c r="T447" s="52"/>
      <c r="U447" s="52"/>
      <c r="V447" s="52"/>
      <c r="W447" s="52"/>
      <c r="X447" s="52"/>
      <c r="Y447" s="52"/>
    </row>
    <row r="448">
      <c r="S448" s="52"/>
      <c r="T448" s="52"/>
      <c r="U448" s="52"/>
      <c r="V448" s="52"/>
      <c r="W448" s="52"/>
      <c r="X448" s="52"/>
      <c r="Y448" s="52"/>
    </row>
    <row r="449">
      <c r="S449" s="52"/>
      <c r="T449" s="52"/>
      <c r="U449" s="52"/>
      <c r="V449" s="52"/>
      <c r="W449" s="52"/>
      <c r="X449" s="52"/>
      <c r="Y449" s="52"/>
    </row>
    <row r="450">
      <c r="S450" s="52"/>
      <c r="T450" s="52"/>
      <c r="U450" s="52"/>
      <c r="V450" s="52"/>
      <c r="W450" s="52"/>
      <c r="X450" s="52"/>
      <c r="Y450" s="52"/>
    </row>
    <row r="451">
      <c r="S451" s="52"/>
      <c r="T451" s="52"/>
      <c r="U451" s="52"/>
      <c r="V451" s="52"/>
      <c r="W451" s="52"/>
      <c r="X451" s="52"/>
      <c r="Y451" s="52"/>
    </row>
    <row r="452">
      <c r="S452" s="52"/>
      <c r="T452" s="52"/>
      <c r="U452" s="52"/>
      <c r="V452" s="52"/>
      <c r="W452" s="52"/>
      <c r="X452" s="52"/>
      <c r="Y452" s="52"/>
    </row>
    <row r="453">
      <c r="S453" s="52"/>
      <c r="T453" s="52"/>
      <c r="U453" s="52"/>
      <c r="V453" s="52"/>
      <c r="W453" s="52"/>
      <c r="X453" s="52"/>
      <c r="Y453" s="52"/>
    </row>
    <row r="454">
      <c r="S454" s="52"/>
      <c r="T454" s="52"/>
      <c r="U454" s="52"/>
      <c r="V454" s="52"/>
      <c r="W454" s="52"/>
      <c r="X454" s="52"/>
      <c r="Y454" s="52"/>
    </row>
    <row r="455">
      <c r="S455" s="52"/>
      <c r="T455" s="52"/>
      <c r="U455" s="52"/>
      <c r="V455" s="52"/>
      <c r="W455" s="52"/>
      <c r="X455" s="52"/>
      <c r="Y455" s="52"/>
    </row>
    <row r="456">
      <c r="S456" s="52"/>
      <c r="T456" s="52"/>
      <c r="U456" s="52"/>
      <c r="V456" s="52"/>
      <c r="W456" s="52"/>
      <c r="X456" s="52"/>
      <c r="Y456" s="52"/>
    </row>
    <row r="457">
      <c r="S457" s="52"/>
      <c r="T457" s="52"/>
      <c r="U457" s="52"/>
      <c r="V457" s="52"/>
      <c r="W457" s="52"/>
      <c r="X457" s="52"/>
      <c r="Y457" s="52"/>
    </row>
    <row r="458">
      <c r="S458" s="52"/>
      <c r="T458" s="52"/>
      <c r="U458" s="52"/>
      <c r="V458" s="52"/>
      <c r="W458" s="52"/>
      <c r="X458" s="52"/>
      <c r="Y458" s="52"/>
    </row>
    <row r="459">
      <c r="S459" s="52"/>
      <c r="T459" s="52"/>
      <c r="U459" s="52"/>
      <c r="V459" s="52"/>
      <c r="W459" s="52"/>
      <c r="X459" s="52"/>
      <c r="Y459" s="52"/>
    </row>
    <row r="460">
      <c r="S460" s="52"/>
      <c r="T460" s="52"/>
      <c r="U460" s="52"/>
      <c r="V460" s="52"/>
      <c r="W460" s="52"/>
      <c r="X460" s="52"/>
      <c r="Y460" s="52"/>
    </row>
    <row r="461">
      <c r="S461" s="52"/>
      <c r="T461" s="52"/>
      <c r="U461" s="52"/>
      <c r="V461" s="52"/>
      <c r="W461" s="52"/>
      <c r="X461" s="52"/>
      <c r="Y461" s="52"/>
    </row>
    <row r="462">
      <c r="S462" s="52"/>
      <c r="T462" s="52"/>
      <c r="U462" s="52"/>
      <c r="V462" s="52"/>
      <c r="W462" s="52"/>
      <c r="X462" s="52"/>
      <c r="Y462" s="52"/>
    </row>
    <row r="463">
      <c r="S463" s="52"/>
      <c r="T463" s="52"/>
      <c r="U463" s="52"/>
      <c r="V463" s="52"/>
      <c r="W463" s="52"/>
      <c r="X463" s="52"/>
      <c r="Y463" s="52"/>
    </row>
    <row r="464">
      <c r="S464" s="52"/>
      <c r="T464" s="52"/>
      <c r="U464" s="52"/>
      <c r="V464" s="52"/>
      <c r="W464" s="52"/>
      <c r="X464" s="52"/>
      <c r="Y464" s="52"/>
    </row>
    <row r="465">
      <c r="S465" s="52"/>
      <c r="T465" s="52"/>
      <c r="U465" s="52"/>
      <c r="V465" s="52"/>
      <c r="W465" s="52"/>
      <c r="X465" s="52"/>
      <c r="Y465" s="52"/>
    </row>
    <row r="466">
      <c r="S466" s="52"/>
      <c r="T466" s="52"/>
      <c r="U466" s="52"/>
      <c r="V466" s="52"/>
      <c r="W466" s="52"/>
      <c r="X466" s="52"/>
      <c r="Y466" s="52"/>
    </row>
    <row r="467">
      <c r="S467" s="52"/>
      <c r="T467" s="52"/>
      <c r="U467" s="52"/>
      <c r="V467" s="52"/>
      <c r="W467" s="52"/>
      <c r="X467" s="52"/>
      <c r="Y467" s="52"/>
    </row>
    <row r="468">
      <c r="S468" s="52"/>
      <c r="T468" s="52"/>
      <c r="U468" s="52"/>
      <c r="V468" s="52"/>
      <c r="W468" s="52"/>
      <c r="X468" s="52"/>
      <c r="Y468" s="52"/>
    </row>
    <row r="469">
      <c r="S469" s="52"/>
      <c r="T469" s="52"/>
      <c r="U469" s="52"/>
      <c r="V469" s="52"/>
      <c r="W469" s="52"/>
      <c r="X469" s="52"/>
      <c r="Y469" s="52"/>
    </row>
    <row r="470">
      <c r="S470" s="52"/>
      <c r="T470" s="52"/>
      <c r="U470" s="52"/>
      <c r="V470" s="52"/>
      <c r="W470" s="52"/>
      <c r="X470" s="52"/>
      <c r="Y470" s="52"/>
    </row>
    <row r="471">
      <c r="S471" s="52"/>
      <c r="T471" s="52"/>
      <c r="U471" s="52"/>
      <c r="V471" s="52"/>
      <c r="W471" s="52"/>
      <c r="X471" s="52"/>
      <c r="Y471" s="52"/>
    </row>
    <row r="472">
      <c r="S472" s="52"/>
      <c r="T472" s="52"/>
      <c r="U472" s="52"/>
      <c r="V472" s="52"/>
      <c r="W472" s="52"/>
      <c r="X472" s="52"/>
      <c r="Y472" s="52"/>
    </row>
    <row r="473">
      <c r="S473" s="52"/>
      <c r="T473" s="52"/>
      <c r="U473" s="52"/>
      <c r="V473" s="52"/>
      <c r="W473" s="52"/>
      <c r="X473" s="52"/>
      <c r="Y473" s="52"/>
    </row>
    <row r="474">
      <c r="S474" s="52"/>
      <c r="T474" s="52"/>
      <c r="U474" s="52"/>
      <c r="V474" s="52"/>
      <c r="W474" s="52"/>
      <c r="X474" s="52"/>
      <c r="Y474" s="52"/>
    </row>
    <row r="475">
      <c r="S475" s="52"/>
      <c r="T475" s="52"/>
      <c r="U475" s="52"/>
      <c r="V475" s="52"/>
      <c r="W475" s="52"/>
      <c r="X475" s="52"/>
      <c r="Y475" s="52"/>
    </row>
    <row r="476">
      <c r="S476" s="52"/>
      <c r="T476" s="52"/>
      <c r="U476" s="52"/>
      <c r="V476" s="52"/>
      <c r="W476" s="52"/>
      <c r="X476" s="52"/>
      <c r="Y476" s="52"/>
    </row>
    <row r="477">
      <c r="S477" s="52"/>
      <c r="T477" s="52"/>
      <c r="U477" s="52"/>
      <c r="V477" s="52"/>
      <c r="W477" s="52"/>
      <c r="X477" s="52"/>
      <c r="Y477" s="52"/>
    </row>
    <row r="478">
      <c r="S478" s="52"/>
      <c r="T478" s="52"/>
      <c r="U478" s="52"/>
      <c r="V478" s="52"/>
      <c r="W478" s="52"/>
      <c r="X478" s="52"/>
      <c r="Y478" s="52"/>
    </row>
    <row r="479">
      <c r="S479" s="52"/>
      <c r="T479" s="52"/>
      <c r="U479" s="52"/>
      <c r="V479" s="52"/>
      <c r="W479" s="52"/>
      <c r="X479" s="52"/>
      <c r="Y479" s="52"/>
    </row>
    <row r="480">
      <c r="S480" s="52"/>
      <c r="T480" s="52"/>
      <c r="U480" s="52"/>
      <c r="V480" s="52"/>
      <c r="W480" s="52"/>
      <c r="X480" s="52"/>
      <c r="Y480" s="52"/>
    </row>
    <row r="481">
      <c r="S481" s="52"/>
      <c r="T481" s="52"/>
      <c r="U481" s="52"/>
      <c r="V481" s="52"/>
      <c r="W481" s="52"/>
      <c r="X481" s="52"/>
      <c r="Y481" s="52"/>
    </row>
    <row r="482">
      <c r="S482" s="52"/>
      <c r="T482" s="52"/>
      <c r="U482" s="52"/>
      <c r="V482" s="52"/>
      <c r="W482" s="52"/>
      <c r="X482" s="52"/>
      <c r="Y482" s="52"/>
    </row>
    <row r="483">
      <c r="S483" s="52"/>
      <c r="T483" s="52"/>
      <c r="U483" s="52"/>
      <c r="V483" s="52"/>
      <c r="W483" s="52"/>
      <c r="X483" s="52"/>
      <c r="Y483" s="52"/>
    </row>
    <row r="484">
      <c r="S484" s="52"/>
      <c r="T484" s="52"/>
      <c r="U484" s="52"/>
      <c r="V484" s="52"/>
      <c r="W484" s="52"/>
      <c r="X484" s="52"/>
      <c r="Y484" s="52"/>
    </row>
    <row r="485">
      <c r="S485" s="52"/>
      <c r="T485" s="52"/>
      <c r="U485" s="52"/>
      <c r="V485" s="52"/>
      <c r="W485" s="52"/>
      <c r="X485" s="52"/>
      <c r="Y485" s="52"/>
    </row>
    <row r="486">
      <c r="S486" s="52"/>
      <c r="T486" s="52"/>
      <c r="U486" s="52"/>
      <c r="V486" s="52"/>
      <c r="W486" s="52"/>
      <c r="X486" s="52"/>
      <c r="Y486" s="52"/>
    </row>
    <row r="487">
      <c r="S487" s="52"/>
      <c r="T487" s="52"/>
      <c r="U487" s="52"/>
      <c r="V487" s="52"/>
      <c r="W487" s="52"/>
      <c r="X487" s="52"/>
      <c r="Y487" s="52"/>
    </row>
    <row r="488">
      <c r="S488" s="52"/>
      <c r="T488" s="52"/>
      <c r="U488" s="52"/>
      <c r="V488" s="52"/>
      <c r="W488" s="52"/>
      <c r="X488" s="52"/>
      <c r="Y488" s="52"/>
    </row>
    <row r="489">
      <c r="S489" s="52"/>
      <c r="T489" s="52"/>
      <c r="U489" s="52"/>
      <c r="V489" s="52"/>
      <c r="W489" s="52"/>
      <c r="X489" s="52"/>
      <c r="Y489" s="52"/>
    </row>
    <row r="490">
      <c r="S490" s="52"/>
      <c r="T490" s="52"/>
      <c r="U490" s="52"/>
      <c r="V490" s="52"/>
      <c r="W490" s="52"/>
      <c r="X490" s="52"/>
      <c r="Y490" s="52"/>
    </row>
    <row r="491">
      <c r="S491" s="52"/>
      <c r="T491" s="52"/>
      <c r="U491" s="52"/>
      <c r="V491" s="52"/>
      <c r="W491" s="52"/>
      <c r="X491" s="52"/>
      <c r="Y491" s="52"/>
    </row>
    <row r="492">
      <c r="S492" s="52"/>
      <c r="T492" s="52"/>
      <c r="U492" s="52"/>
      <c r="V492" s="52"/>
      <c r="W492" s="52"/>
      <c r="X492" s="52"/>
      <c r="Y492" s="52"/>
    </row>
    <row r="493">
      <c r="S493" s="52"/>
      <c r="T493" s="52"/>
      <c r="U493" s="52"/>
      <c r="V493" s="52"/>
      <c r="W493" s="52"/>
      <c r="X493" s="52"/>
      <c r="Y493" s="52"/>
    </row>
    <row r="494">
      <c r="S494" s="52"/>
      <c r="T494" s="52"/>
      <c r="U494" s="52"/>
      <c r="V494" s="52"/>
      <c r="W494" s="52"/>
      <c r="X494" s="52"/>
      <c r="Y494" s="52"/>
    </row>
    <row r="495">
      <c r="S495" s="52"/>
      <c r="T495" s="52"/>
      <c r="U495" s="52"/>
      <c r="V495" s="52"/>
      <c r="W495" s="52"/>
      <c r="X495" s="52"/>
      <c r="Y495" s="52"/>
    </row>
    <row r="496">
      <c r="S496" s="52"/>
      <c r="T496" s="52"/>
      <c r="U496" s="52"/>
      <c r="V496" s="52"/>
      <c r="W496" s="52"/>
      <c r="X496" s="52"/>
      <c r="Y496" s="52"/>
    </row>
    <row r="497">
      <c r="S497" s="52"/>
      <c r="T497" s="52"/>
      <c r="U497" s="52"/>
      <c r="V497" s="52"/>
      <c r="W497" s="52"/>
      <c r="X497" s="52"/>
      <c r="Y497" s="52"/>
    </row>
    <row r="498">
      <c r="S498" s="52"/>
      <c r="T498" s="52"/>
      <c r="U498" s="52"/>
      <c r="V498" s="52"/>
      <c r="W498" s="52"/>
      <c r="X498" s="52"/>
      <c r="Y498" s="52"/>
    </row>
    <row r="499">
      <c r="S499" s="52"/>
      <c r="T499" s="52"/>
      <c r="U499" s="52"/>
      <c r="V499" s="52"/>
      <c r="W499" s="52"/>
      <c r="X499" s="52"/>
      <c r="Y499" s="52"/>
    </row>
    <row r="500">
      <c r="S500" s="52"/>
      <c r="T500" s="52"/>
      <c r="U500" s="52"/>
      <c r="V500" s="52"/>
      <c r="W500" s="52"/>
      <c r="X500" s="52"/>
      <c r="Y500" s="52"/>
    </row>
    <row r="501">
      <c r="S501" s="52"/>
      <c r="T501" s="52"/>
      <c r="U501" s="52"/>
      <c r="V501" s="52"/>
      <c r="W501" s="52"/>
      <c r="X501" s="52"/>
      <c r="Y501" s="52"/>
    </row>
    <row r="502">
      <c r="S502" s="52"/>
      <c r="T502" s="52"/>
      <c r="U502" s="52"/>
      <c r="V502" s="52"/>
      <c r="W502" s="52"/>
      <c r="X502" s="52"/>
      <c r="Y502" s="52"/>
    </row>
    <row r="503">
      <c r="S503" s="52"/>
      <c r="T503" s="52"/>
      <c r="U503" s="52"/>
      <c r="V503" s="52"/>
      <c r="W503" s="52"/>
      <c r="X503" s="52"/>
      <c r="Y503" s="52"/>
    </row>
    <row r="504">
      <c r="S504" s="52"/>
      <c r="T504" s="52"/>
      <c r="U504" s="52"/>
      <c r="V504" s="52"/>
      <c r="W504" s="52"/>
      <c r="X504" s="52"/>
      <c r="Y504" s="52"/>
    </row>
    <row r="505">
      <c r="S505" s="52"/>
      <c r="T505" s="52"/>
      <c r="U505" s="52"/>
      <c r="V505" s="52"/>
      <c r="W505" s="52"/>
      <c r="X505" s="52"/>
      <c r="Y505" s="52"/>
    </row>
    <row r="506">
      <c r="S506" s="52"/>
      <c r="T506" s="52"/>
      <c r="U506" s="52"/>
      <c r="V506" s="52"/>
      <c r="W506" s="52"/>
      <c r="X506" s="52"/>
      <c r="Y506" s="52"/>
    </row>
    <row r="507">
      <c r="S507" s="52"/>
      <c r="T507" s="52"/>
      <c r="U507" s="52"/>
      <c r="V507" s="52"/>
      <c r="W507" s="52"/>
      <c r="X507" s="52"/>
      <c r="Y507" s="52"/>
    </row>
    <row r="508">
      <c r="S508" s="52"/>
      <c r="T508" s="52"/>
      <c r="U508" s="52"/>
      <c r="V508" s="52"/>
      <c r="W508" s="52"/>
      <c r="X508" s="52"/>
      <c r="Y508" s="52"/>
    </row>
    <row r="509">
      <c r="S509" s="52"/>
      <c r="T509" s="52"/>
      <c r="U509" s="52"/>
      <c r="V509" s="52"/>
      <c r="W509" s="52"/>
      <c r="X509" s="52"/>
      <c r="Y509" s="52"/>
    </row>
    <row r="510">
      <c r="S510" s="52"/>
      <c r="T510" s="52"/>
      <c r="U510" s="52"/>
      <c r="V510" s="52"/>
      <c r="W510" s="52"/>
      <c r="X510" s="52"/>
      <c r="Y510" s="52"/>
    </row>
    <row r="511">
      <c r="S511" s="52"/>
      <c r="T511" s="52"/>
      <c r="U511" s="52"/>
      <c r="V511" s="52"/>
      <c r="W511" s="52"/>
      <c r="X511" s="52"/>
      <c r="Y511" s="52"/>
    </row>
    <row r="512">
      <c r="S512" s="52"/>
      <c r="T512" s="52"/>
      <c r="U512" s="52"/>
      <c r="V512" s="52"/>
      <c r="W512" s="52"/>
      <c r="X512" s="52"/>
      <c r="Y512" s="52"/>
    </row>
    <row r="513">
      <c r="S513" s="52"/>
      <c r="T513" s="52"/>
      <c r="U513" s="52"/>
      <c r="V513" s="52"/>
      <c r="W513" s="52"/>
      <c r="X513" s="52"/>
      <c r="Y513" s="52"/>
    </row>
    <row r="514">
      <c r="S514" s="52"/>
      <c r="T514" s="52"/>
      <c r="U514" s="52"/>
      <c r="V514" s="52"/>
      <c r="W514" s="52"/>
      <c r="X514" s="52"/>
      <c r="Y514" s="52"/>
    </row>
    <row r="515">
      <c r="S515" s="52"/>
      <c r="T515" s="52"/>
      <c r="U515" s="52"/>
      <c r="V515" s="52"/>
      <c r="W515" s="52"/>
      <c r="X515" s="52"/>
      <c r="Y515" s="52"/>
    </row>
    <row r="516">
      <c r="S516" s="52"/>
      <c r="T516" s="52"/>
      <c r="U516" s="52"/>
      <c r="V516" s="52"/>
      <c r="W516" s="52"/>
      <c r="X516" s="52"/>
      <c r="Y516" s="52"/>
    </row>
    <row r="517">
      <c r="S517" s="52"/>
      <c r="T517" s="52"/>
      <c r="U517" s="52"/>
      <c r="V517" s="52"/>
      <c r="W517" s="52"/>
      <c r="X517" s="52"/>
      <c r="Y517" s="52"/>
    </row>
    <row r="518">
      <c r="S518" s="52"/>
      <c r="T518" s="52"/>
      <c r="U518" s="52"/>
      <c r="V518" s="52"/>
      <c r="W518" s="52"/>
      <c r="X518" s="52"/>
      <c r="Y518" s="52"/>
    </row>
    <row r="519">
      <c r="S519" s="52"/>
      <c r="T519" s="52"/>
      <c r="U519" s="52"/>
      <c r="V519" s="52"/>
      <c r="W519" s="52"/>
      <c r="X519" s="52"/>
      <c r="Y519" s="52"/>
    </row>
    <row r="520">
      <c r="S520" s="52"/>
      <c r="T520" s="52"/>
      <c r="U520" s="52"/>
      <c r="V520" s="52"/>
      <c r="W520" s="52"/>
      <c r="X520" s="52"/>
      <c r="Y520" s="52"/>
    </row>
    <row r="521">
      <c r="S521" s="52"/>
      <c r="T521" s="52"/>
      <c r="U521" s="52"/>
      <c r="V521" s="52"/>
      <c r="W521" s="52"/>
      <c r="X521" s="52"/>
      <c r="Y521" s="52"/>
    </row>
    <row r="522">
      <c r="S522" s="52"/>
      <c r="T522" s="52"/>
      <c r="U522" s="52"/>
      <c r="V522" s="52"/>
      <c r="W522" s="52"/>
      <c r="X522" s="52"/>
      <c r="Y522" s="52"/>
    </row>
    <row r="523">
      <c r="S523" s="52"/>
      <c r="T523" s="52"/>
      <c r="U523" s="52"/>
      <c r="V523" s="52"/>
      <c r="W523" s="52"/>
      <c r="X523" s="52"/>
      <c r="Y523" s="52"/>
    </row>
    <row r="524">
      <c r="S524" s="52"/>
      <c r="T524" s="52"/>
      <c r="U524" s="52"/>
      <c r="V524" s="52"/>
      <c r="W524" s="52"/>
      <c r="X524" s="52"/>
      <c r="Y524" s="52"/>
    </row>
    <row r="525">
      <c r="S525" s="52"/>
      <c r="T525" s="52"/>
      <c r="U525" s="52"/>
      <c r="V525" s="52"/>
      <c r="W525" s="52"/>
      <c r="X525" s="52"/>
      <c r="Y525" s="52"/>
    </row>
    <row r="526">
      <c r="S526" s="52"/>
      <c r="T526" s="52"/>
      <c r="U526" s="52"/>
      <c r="V526" s="52"/>
      <c r="W526" s="52"/>
      <c r="X526" s="52"/>
      <c r="Y526" s="52"/>
    </row>
    <row r="527">
      <c r="S527" s="52"/>
      <c r="T527" s="52"/>
      <c r="U527" s="52"/>
      <c r="V527" s="52"/>
      <c r="W527" s="52"/>
      <c r="X527" s="52"/>
      <c r="Y527" s="52"/>
    </row>
    <row r="528">
      <c r="S528" s="52"/>
      <c r="T528" s="52"/>
      <c r="U528" s="52"/>
      <c r="V528" s="52"/>
      <c r="W528" s="52"/>
      <c r="X528" s="52"/>
      <c r="Y528" s="52"/>
    </row>
    <row r="529">
      <c r="S529" s="52"/>
      <c r="T529" s="52"/>
      <c r="U529" s="52"/>
      <c r="V529" s="52"/>
      <c r="W529" s="52"/>
      <c r="X529" s="52"/>
      <c r="Y529" s="52"/>
    </row>
    <row r="530">
      <c r="S530" s="52"/>
      <c r="T530" s="52"/>
      <c r="U530" s="52"/>
      <c r="V530" s="52"/>
      <c r="W530" s="52"/>
      <c r="X530" s="52"/>
      <c r="Y530" s="52"/>
    </row>
    <row r="531">
      <c r="S531" s="52"/>
      <c r="T531" s="52"/>
      <c r="U531" s="52"/>
      <c r="V531" s="52"/>
      <c r="W531" s="52"/>
      <c r="X531" s="52"/>
      <c r="Y531" s="52"/>
    </row>
    <row r="532">
      <c r="S532" s="52"/>
      <c r="T532" s="52"/>
      <c r="U532" s="52"/>
      <c r="V532" s="52"/>
      <c r="W532" s="52"/>
      <c r="X532" s="52"/>
      <c r="Y532" s="52"/>
    </row>
    <row r="533">
      <c r="S533" s="52"/>
      <c r="T533" s="52"/>
      <c r="U533" s="52"/>
      <c r="V533" s="52"/>
      <c r="W533" s="52"/>
      <c r="X533" s="52"/>
      <c r="Y533" s="52"/>
    </row>
    <row r="534">
      <c r="S534" s="52"/>
      <c r="T534" s="52"/>
      <c r="U534" s="52"/>
      <c r="V534" s="52"/>
      <c r="W534" s="52"/>
      <c r="X534" s="52"/>
      <c r="Y534" s="52"/>
    </row>
    <row r="535">
      <c r="S535" s="52"/>
      <c r="T535" s="52"/>
      <c r="U535" s="52"/>
      <c r="V535" s="52"/>
      <c r="W535" s="52"/>
      <c r="X535" s="52"/>
      <c r="Y535" s="52"/>
    </row>
    <row r="536">
      <c r="S536" s="52"/>
      <c r="T536" s="52"/>
      <c r="U536" s="52"/>
      <c r="V536" s="52"/>
      <c r="W536" s="52"/>
      <c r="X536" s="52"/>
      <c r="Y536" s="52"/>
    </row>
    <row r="537">
      <c r="S537" s="52"/>
      <c r="T537" s="52"/>
      <c r="U537" s="52"/>
      <c r="V537" s="52"/>
      <c r="W537" s="52"/>
      <c r="X537" s="52"/>
      <c r="Y537" s="52"/>
    </row>
    <row r="538">
      <c r="S538" s="52"/>
      <c r="T538" s="52"/>
      <c r="U538" s="52"/>
      <c r="V538" s="52"/>
      <c r="W538" s="52"/>
      <c r="X538" s="52"/>
      <c r="Y538" s="52"/>
    </row>
    <row r="539">
      <c r="S539" s="52"/>
      <c r="T539" s="52"/>
      <c r="U539" s="52"/>
      <c r="V539" s="52"/>
      <c r="W539" s="52"/>
      <c r="X539" s="52"/>
      <c r="Y539" s="52"/>
    </row>
    <row r="540">
      <c r="S540" s="52"/>
      <c r="T540" s="52"/>
      <c r="U540" s="52"/>
      <c r="V540" s="52"/>
      <c r="W540" s="52"/>
      <c r="X540" s="52"/>
      <c r="Y540" s="52"/>
    </row>
    <row r="541">
      <c r="S541" s="52"/>
      <c r="T541" s="52"/>
      <c r="U541" s="52"/>
      <c r="V541" s="52"/>
      <c r="W541" s="52"/>
      <c r="X541" s="52"/>
      <c r="Y541" s="52"/>
    </row>
    <row r="542">
      <c r="S542" s="52"/>
      <c r="T542" s="52"/>
      <c r="U542" s="52"/>
      <c r="V542" s="52"/>
      <c r="W542" s="52"/>
      <c r="X542" s="52"/>
      <c r="Y542" s="52"/>
    </row>
    <row r="543">
      <c r="S543" s="52"/>
      <c r="T543" s="52"/>
      <c r="U543" s="52"/>
      <c r="V543" s="52"/>
      <c r="W543" s="52"/>
      <c r="X543" s="52"/>
      <c r="Y543" s="52"/>
    </row>
    <row r="544">
      <c r="S544" s="52"/>
      <c r="T544" s="52"/>
      <c r="U544" s="52"/>
      <c r="V544" s="52"/>
      <c r="W544" s="52"/>
      <c r="X544" s="52"/>
      <c r="Y544" s="52"/>
    </row>
    <row r="545">
      <c r="S545" s="52"/>
      <c r="T545" s="52"/>
      <c r="U545" s="52"/>
      <c r="V545" s="52"/>
      <c r="W545" s="52"/>
      <c r="X545" s="52"/>
      <c r="Y545" s="52"/>
    </row>
    <row r="546">
      <c r="S546" s="52"/>
      <c r="T546" s="52"/>
      <c r="U546" s="52"/>
      <c r="V546" s="52"/>
      <c r="W546" s="52"/>
      <c r="X546" s="52"/>
      <c r="Y546" s="52"/>
    </row>
    <row r="547">
      <c r="S547" s="52"/>
      <c r="T547" s="52"/>
      <c r="U547" s="52"/>
      <c r="V547" s="52"/>
      <c r="W547" s="52"/>
      <c r="X547" s="52"/>
      <c r="Y547" s="52"/>
    </row>
    <row r="548">
      <c r="S548" s="52"/>
      <c r="T548" s="52"/>
      <c r="U548" s="52"/>
      <c r="V548" s="52"/>
      <c r="W548" s="52"/>
      <c r="X548" s="52"/>
      <c r="Y548" s="52"/>
    </row>
    <row r="549">
      <c r="S549" s="52"/>
      <c r="T549" s="52"/>
      <c r="U549" s="52"/>
      <c r="V549" s="52"/>
      <c r="W549" s="52"/>
      <c r="X549" s="52"/>
      <c r="Y549" s="52"/>
    </row>
    <row r="550">
      <c r="S550" s="52"/>
      <c r="T550" s="52"/>
      <c r="U550" s="52"/>
      <c r="V550" s="52"/>
      <c r="W550" s="52"/>
      <c r="X550" s="52"/>
      <c r="Y550" s="52"/>
    </row>
    <row r="551">
      <c r="S551" s="52"/>
      <c r="T551" s="52"/>
      <c r="U551" s="52"/>
      <c r="V551" s="52"/>
      <c r="W551" s="52"/>
      <c r="X551" s="52"/>
      <c r="Y551" s="52"/>
    </row>
    <row r="552">
      <c r="S552" s="52"/>
      <c r="T552" s="52"/>
      <c r="U552" s="52"/>
      <c r="V552" s="52"/>
      <c r="W552" s="52"/>
      <c r="X552" s="52"/>
      <c r="Y552" s="52"/>
    </row>
    <row r="553">
      <c r="S553" s="52"/>
      <c r="T553" s="52"/>
      <c r="U553" s="52"/>
      <c r="V553" s="52"/>
      <c r="W553" s="52"/>
      <c r="X553" s="52"/>
      <c r="Y553" s="52"/>
    </row>
    <row r="554">
      <c r="S554" s="52"/>
      <c r="T554" s="52"/>
      <c r="U554" s="52"/>
      <c r="V554" s="52"/>
      <c r="W554" s="52"/>
      <c r="X554" s="52"/>
      <c r="Y554" s="52"/>
    </row>
    <row r="555">
      <c r="S555" s="52"/>
      <c r="T555" s="52"/>
      <c r="U555" s="52"/>
      <c r="V555" s="52"/>
      <c r="W555" s="52"/>
      <c r="X555" s="52"/>
      <c r="Y555" s="52"/>
    </row>
    <row r="556">
      <c r="S556" s="52"/>
      <c r="T556" s="52"/>
      <c r="U556" s="52"/>
      <c r="V556" s="52"/>
      <c r="W556" s="52"/>
      <c r="X556" s="52"/>
      <c r="Y556" s="52"/>
    </row>
    <row r="557">
      <c r="S557" s="52"/>
      <c r="T557" s="52"/>
      <c r="U557" s="52"/>
      <c r="V557" s="52"/>
      <c r="W557" s="52"/>
      <c r="X557" s="52"/>
      <c r="Y557" s="52"/>
    </row>
    <row r="558">
      <c r="S558" s="52"/>
      <c r="T558" s="52"/>
      <c r="U558" s="52"/>
      <c r="V558" s="52"/>
      <c r="W558" s="52"/>
      <c r="X558" s="52"/>
      <c r="Y558" s="52"/>
    </row>
    <row r="559">
      <c r="S559" s="52"/>
      <c r="T559" s="52"/>
      <c r="U559" s="52"/>
      <c r="V559" s="52"/>
      <c r="W559" s="52"/>
      <c r="X559" s="52"/>
      <c r="Y559" s="52"/>
    </row>
    <row r="560">
      <c r="S560" s="52"/>
      <c r="T560" s="52"/>
      <c r="U560" s="52"/>
      <c r="V560" s="52"/>
      <c r="W560" s="52"/>
      <c r="X560" s="52"/>
      <c r="Y560" s="52"/>
    </row>
    <row r="561">
      <c r="S561" s="52"/>
      <c r="T561" s="52"/>
      <c r="U561" s="52"/>
      <c r="V561" s="52"/>
      <c r="W561" s="52"/>
      <c r="X561" s="52"/>
      <c r="Y561" s="52"/>
    </row>
    <row r="562">
      <c r="S562" s="52"/>
      <c r="T562" s="52"/>
      <c r="U562" s="52"/>
      <c r="V562" s="52"/>
      <c r="W562" s="52"/>
      <c r="X562" s="52"/>
      <c r="Y562" s="52"/>
    </row>
    <row r="563">
      <c r="S563" s="52"/>
      <c r="T563" s="52"/>
      <c r="U563" s="52"/>
      <c r="V563" s="52"/>
      <c r="W563" s="52"/>
      <c r="X563" s="52"/>
      <c r="Y563" s="52"/>
    </row>
    <row r="564">
      <c r="S564" s="52"/>
      <c r="T564" s="52"/>
      <c r="U564" s="52"/>
      <c r="V564" s="52"/>
      <c r="W564" s="52"/>
      <c r="X564" s="52"/>
      <c r="Y564" s="52"/>
    </row>
    <row r="565">
      <c r="S565" s="52"/>
      <c r="T565" s="52"/>
      <c r="U565" s="52"/>
      <c r="V565" s="52"/>
      <c r="W565" s="52"/>
      <c r="X565" s="52"/>
      <c r="Y565" s="52"/>
    </row>
    <row r="566">
      <c r="S566" s="52"/>
      <c r="T566" s="52"/>
      <c r="U566" s="52"/>
      <c r="V566" s="52"/>
      <c r="W566" s="52"/>
      <c r="X566" s="52"/>
      <c r="Y566" s="52"/>
    </row>
    <row r="567">
      <c r="S567" s="52"/>
      <c r="T567" s="52"/>
      <c r="U567" s="52"/>
      <c r="V567" s="52"/>
      <c r="W567" s="52"/>
      <c r="X567" s="52"/>
      <c r="Y567" s="52"/>
    </row>
    <row r="568">
      <c r="S568" s="52"/>
      <c r="T568" s="52"/>
      <c r="U568" s="52"/>
      <c r="V568" s="52"/>
      <c r="W568" s="52"/>
      <c r="X568" s="52"/>
      <c r="Y568" s="52"/>
    </row>
    <row r="569">
      <c r="S569" s="52"/>
      <c r="T569" s="52"/>
      <c r="U569" s="52"/>
      <c r="V569" s="52"/>
      <c r="W569" s="52"/>
      <c r="X569" s="52"/>
      <c r="Y569" s="52"/>
    </row>
    <row r="570">
      <c r="S570" s="52"/>
      <c r="T570" s="52"/>
      <c r="U570" s="52"/>
      <c r="V570" s="52"/>
      <c r="W570" s="52"/>
      <c r="X570" s="52"/>
      <c r="Y570" s="52"/>
    </row>
    <row r="571">
      <c r="S571" s="52"/>
      <c r="T571" s="52"/>
      <c r="U571" s="52"/>
      <c r="V571" s="52"/>
      <c r="W571" s="52"/>
      <c r="X571" s="52"/>
      <c r="Y571" s="52"/>
    </row>
    <row r="572">
      <c r="S572" s="52"/>
      <c r="T572" s="52"/>
      <c r="U572" s="52"/>
      <c r="V572" s="52"/>
      <c r="W572" s="52"/>
      <c r="X572" s="52"/>
      <c r="Y572" s="52"/>
    </row>
    <row r="573">
      <c r="S573" s="52"/>
      <c r="T573" s="52"/>
      <c r="U573" s="52"/>
      <c r="V573" s="52"/>
      <c r="W573" s="52"/>
      <c r="X573" s="52"/>
      <c r="Y573" s="52"/>
    </row>
    <row r="574">
      <c r="S574" s="52"/>
      <c r="T574" s="52"/>
      <c r="U574" s="52"/>
      <c r="V574" s="52"/>
      <c r="W574" s="52"/>
      <c r="X574" s="52"/>
      <c r="Y574" s="52"/>
    </row>
    <row r="575">
      <c r="S575" s="52"/>
      <c r="T575" s="52"/>
      <c r="U575" s="52"/>
      <c r="V575" s="52"/>
      <c r="W575" s="52"/>
      <c r="X575" s="52"/>
      <c r="Y575" s="52"/>
    </row>
    <row r="576">
      <c r="S576" s="52"/>
      <c r="T576" s="52"/>
      <c r="U576" s="52"/>
      <c r="V576" s="52"/>
      <c r="W576" s="52"/>
      <c r="X576" s="52"/>
      <c r="Y576" s="52"/>
    </row>
    <row r="577">
      <c r="S577" s="52"/>
      <c r="T577" s="52"/>
      <c r="U577" s="52"/>
      <c r="V577" s="52"/>
      <c r="W577" s="52"/>
      <c r="X577" s="52"/>
      <c r="Y577" s="52"/>
    </row>
    <row r="578">
      <c r="S578" s="52"/>
      <c r="T578" s="52"/>
      <c r="U578" s="52"/>
      <c r="V578" s="52"/>
      <c r="W578" s="52"/>
      <c r="X578" s="52"/>
      <c r="Y578" s="52"/>
    </row>
    <row r="579">
      <c r="S579" s="52"/>
      <c r="T579" s="52"/>
      <c r="U579" s="52"/>
      <c r="V579" s="52"/>
      <c r="W579" s="52"/>
      <c r="X579" s="52"/>
      <c r="Y579" s="52"/>
    </row>
    <row r="580">
      <c r="S580" s="52"/>
      <c r="T580" s="52"/>
      <c r="U580" s="52"/>
      <c r="V580" s="52"/>
      <c r="W580" s="52"/>
      <c r="X580" s="52"/>
      <c r="Y580" s="52"/>
    </row>
    <row r="581">
      <c r="S581" s="52"/>
      <c r="T581" s="52"/>
      <c r="U581" s="52"/>
      <c r="V581" s="52"/>
      <c r="W581" s="52"/>
      <c r="X581" s="52"/>
      <c r="Y581" s="52"/>
    </row>
    <row r="582">
      <c r="S582" s="52"/>
      <c r="T582" s="52"/>
      <c r="U582" s="52"/>
      <c r="V582" s="52"/>
      <c r="W582" s="52"/>
      <c r="X582" s="52"/>
      <c r="Y582" s="52"/>
    </row>
    <row r="583">
      <c r="S583" s="52"/>
      <c r="T583" s="52"/>
      <c r="U583" s="52"/>
      <c r="V583" s="52"/>
      <c r="W583" s="52"/>
      <c r="X583" s="52"/>
      <c r="Y583" s="52"/>
    </row>
    <row r="584">
      <c r="S584" s="52"/>
      <c r="T584" s="52"/>
      <c r="U584" s="52"/>
      <c r="V584" s="52"/>
      <c r="W584" s="52"/>
      <c r="X584" s="52"/>
      <c r="Y584" s="52"/>
    </row>
    <row r="585">
      <c r="S585" s="52"/>
      <c r="T585" s="52"/>
      <c r="U585" s="52"/>
      <c r="V585" s="52"/>
      <c r="W585" s="52"/>
      <c r="X585" s="52"/>
      <c r="Y585" s="52"/>
    </row>
    <row r="586">
      <c r="S586" s="52"/>
      <c r="T586" s="52"/>
      <c r="U586" s="52"/>
      <c r="V586" s="52"/>
      <c r="W586" s="52"/>
      <c r="X586" s="52"/>
      <c r="Y586" s="52"/>
    </row>
    <row r="587">
      <c r="S587" s="52"/>
      <c r="T587" s="52"/>
      <c r="U587" s="52"/>
      <c r="V587" s="52"/>
      <c r="W587" s="52"/>
      <c r="X587" s="52"/>
      <c r="Y587" s="52"/>
    </row>
    <row r="588">
      <c r="S588" s="52"/>
      <c r="T588" s="52"/>
      <c r="U588" s="52"/>
      <c r="V588" s="52"/>
      <c r="W588" s="52"/>
      <c r="X588" s="52"/>
      <c r="Y588" s="52"/>
    </row>
    <row r="589">
      <c r="S589" s="52"/>
      <c r="T589" s="52"/>
      <c r="U589" s="52"/>
      <c r="V589" s="52"/>
      <c r="W589" s="52"/>
      <c r="X589" s="52"/>
      <c r="Y589" s="52"/>
    </row>
    <row r="590">
      <c r="S590" s="52"/>
      <c r="T590" s="52"/>
      <c r="U590" s="52"/>
      <c r="V590" s="52"/>
      <c r="W590" s="52"/>
      <c r="X590" s="52"/>
      <c r="Y590" s="52"/>
    </row>
    <row r="591">
      <c r="S591" s="52"/>
      <c r="T591" s="52"/>
      <c r="U591" s="52"/>
      <c r="V591" s="52"/>
      <c r="W591" s="52"/>
      <c r="X591" s="52"/>
      <c r="Y591" s="52"/>
    </row>
    <row r="592">
      <c r="S592" s="52"/>
      <c r="T592" s="52"/>
      <c r="U592" s="52"/>
      <c r="V592" s="52"/>
      <c r="W592" s="52"/>
      <c r="X592" s="52"/>
      <c r="Y592" s="52"/>
    </row>
    <row r="593">
      <c r="S593" s="52"/>
      <c r="T593" s="52"/>
      <c r="U593" s="52"/>
      <c r="V593" s="52"/>
      <c r="W593" s="52"/>
      <c r="X593" s="52"/>
      <c r="Y593" s="52"/>
    </row>
    <row r="594">
      <c r="S594" s="52"/>
      <c r="T594" s="52"/>
      <c r="U594" s="52"/>
      <c r="V594" s="52"/>
      <c r="W594" s="52"/>
      <c r="X594" s="52"/>
      <c r="Y594" s="52"/>
    </row>
    <row r="595">
      <c r="S595" s="52"/>
      <c r="T595" s="52"/>
      <c r="U595" s="52"/>
      <c r="V595" s="52"/>
      <c r="W595" s="52"/>
      <c r="X595" s="52"/>
      <c r="Y595" s="52"/>
    </row>
    <row r="596">
      <c r="S596" s="52"/>
      <c r="T596" s="52"/>
      <c r="U596" s="52"/>
      <c r="V596" s="52"/>
      <c r="W596" s="52"/>
      <c r="X596" s="52"/>
      <c r="Y596" s="52"/>
    </row>
    <row r="597">
      <c r="S597" s="52"/>
      <c r="T597" s="52"/>
      <c r="U597" s="52"/>
      <c r="V597" s="52"/>
      <c r="W597" s="52"/>
      <c r="X597" s="52"/>
      <c r="Y597" s="52"/>
    </row>
    <row r="598">
      <c r="S598" s="52"/>
      <c r="T598" s="52"/>
      <c r="U598" s="52"/>
      <c r="V598" s="52"/>
      <c r="W598" s="52"/>
      <c r="X598" s="52"/>
      <c r="Y598" s="52"/>
    </row>
    <row r="599">
      <c r="S599" s="52"/>
      <c r="T599" s="52"/>
      <c r="U599" s="52"/>
      <c r="V599" s="52"/>
      <c r="W599" s="52"/>
      <c r="X599" s="52"/>
      <c r="Y599" s="52"/>
    </row>
    <row r="600">
      <c r="S600" s="52"/>
      <c r="T600" s="52"/>
      <c r="U600" s="52"/>
      <c r="V600" s="52"/>
      <c r="W600" s="52"/>
      <c r="X600" s="52"/>
      <c r="Y600" s="52"/>
    </row>
    <row r="601">
      <c r="S601" s="52"/>
      <c r="T601" s="52"/>
      <c r="U601" s="52"/>
      <c r="V601" s="52"/>
      <c r="W601" s="52"/>
      <c r="X601" s="52"/>
      <c r="Y601" s="52"/>
    </row>
    <row r="602">
      <c r="S602" s="52"/>
      <c r="T602" s="52"/>
      <c r="U602" s="52"/>
      <c r="V602" s="52"/>
      <c r="W602" s="52"/>
      <c r="X602" s="52"/>
      <c r="Y602" s="52"/>
    </row>
    <row r="603">
      <c r="S603" s="52"/>
      <c r="T603" s="52"/>
      <c r="U603" s="52"/>
      <c r="V603" s="52"/>
      <c r="W603" s="52"/>
      <c r="X603" s="52"/>
      <c r="Y603" s="52"/>
    </row>
    <row r="604">
      <c r="S604" s="52"/>
      <c r="T604" s="52"/>
      <c r="U604" s="52"/>
      <c r="V604" s="52"/>
      <c r="W604" s="52"/>
      <c r="X604" s="52"/>
      <c r="Y604" s="52"/>
    </row>
    <row r="605">
      <c r="S605" s="52"/>
      <c r="T605" s="52"/>
      <c r="U605" s="52"/>
      <c r="V605" s="52"/>
      <c r="W605" s="52"/>
      <c r="X605" s="52"/>
      <c r="Y605" s="52"/>
    </row>
    <row r="606">
      <c r="S606" s="52"/>
      <c r="T606" s="52"/>
      <c r="U606" s="52"/>
      <c r="V606" s="52"/>
      <c r="W606" s="52"/>
      <c r="X606" s="52"/>
      <c r="Y606" s="52"/>
    </row>
    <row r="607">
      <c r="S607" s="52"/>
      <c r="T607" s="52"/>
      <c r="U607" s="52"/>
      <c r="V607" s="52"/>
      <c r="W607" s="52"/>
      <c r="X607" s="52"/>
      <c r="Y607" s="52"/>
    </row>
    <row r="608">
      <c r="S608" s="52"/>
      <c r="T608" s="52"/>
      <c r="U608" s="52"/>
      <c r="V608" s="52"/>
      <c r="W608" s="52"/>
      <c r="X608" s="52"/>
      <c r="Y608" s="52"/>
    </row>
    <row r="609">
      <c r="S609" s="52"/>
      <c r="T609" s="52"/>
      <c r="U609" s="52"/>
      <c r="V609" s="52"/>
      <c r="W609" s="52"/>
      <c r="X609" s="52"/>
      <c r="Y609" s="52"/>
    </row>
    <row r="610">
      <c r="S610" s="52"/>
      <c r="T610" s="52"/>
      <c r="U610" s="52"/>
      <c r="V610" s="52"/>
      <c r="W610" s="52"/>
      <c r="X610" s="52"/>
      <c r="Y610" s="52"/>
    </row>
    <row r="611">
      <c r="S611" s="52"/>
      <c r="T611" s="52"/>
      <c r="U611" s="52"/>
      <c r="V611" s="52"/>
      <c r="W611" s="52"/>
      <c r="X611" s="52"/>
      <c r="Y611" s="52"/>
    </row>
    <row r="612">
      <c r="S612" s="52"/>
      <c r="T612" s="52"/>
      <c r="U612" s="52"/>
      <c r="V612" s="52"/>
      <c r="W612" s="52"/>
      <c r="X612" s="52"/>
      <c r="Y612" s="52"/>
    </row>
    <row r="613">
      <c r="S613" s="52"/>
      <c r="T613" s="52"/>
      <c r="U613" s="52"/>
      <c r="V613" s="52"/>
      <c r="W613" s="52"/>
      <c r="X613" s="52"/>
      <c r="Y613" s="52"/>
    </row>
    <row r="614">
      <c r="S614" s="52"/>
      <c r="T614" s="52"/>
      <c r="U614" s="52"/>
      <c r="V614" s="52"/>
      <c r="W614" s="52"/>
      <c r="X614" s="52"/>
      <c r="Y614" s="52"/>
    </row>
    <row r="615">
      <c r="S615" s="52"/>
      <c r="T615" s="52"/>
      <c r="U615" s="52"/>
      <c r="V615" s="52"/>
      <c r="W615" s="52"/>
      <c r="X615" s="52"/>
      <c r="Y615" s="52"/>
    </row>
    <row r="616">
      <c r="S616" s="52"/>
      <c r="T616" s="52"/>
      <c r="U616" s="52"/>
      <c r="V616" s="52"/>
      <c r="W616" s="52"/>
      <c r="X616" s="52"/>
      <c r="Y616" s="52"/>
    </row>
    <row r="617">
      <c r="S617" s="52"/>
      <c r="T617" s="52"/>
      <c r="U617" s="52"/>
      <c r="V617" s="52"/>
      <c r="W617" s="52"/>
      <c r="X617" s="52"/>
      <c r="Y617" s="52"/>
    </row>
    <row r="618">
      <c r="S618" s="52"/>
      <c r="T618" s="52"/>
      <c r="U618" s="52"/>
      <c r="V618" s="52"/>
      <c r="W618" s="52"/>
      <c r="X618" s="52"/>
      <c r="Y618" s="52"/>
    </row>
    <row r="619">
      <c r="S619" s="52"/>
      <c r="T619" s="52"/>
      <c r="U619" s="52"/>
      <c r="V619" s="52"/>
      <c r="W619" s="52"/>
      <c r="X619" s="52"/>
      <c r="Y619" s="52"/>
    </row>
    <row r="620">
      <c r="S620" s="52"/>
      <c r="T620" s="52"/>
      <c r="U620" s="52"/>
      <c r="V620" s="52"/>
      <c r="W620" s="52"/>
      <c r="X620" s="52"/>
      <c r="Y620" s="52"/>
    </row>
    <row r="621">
      <c r="S621" s="52"/>
      <c r="T621" s="52"/>
      <c r="U621" s="52"/>
      <c r="V621" s="52"/>
      <c r="W621" s="52"/>
      <c r="X621" s="52"/>
      <c r="Y621" s="52"/>
    </row>
    <row r="622">
      <c r="S622" s="52"/>
      <c r="T622" s="52"/>
      <c r="U622" s="52"/>
      <c r="V622" s="52"/>
      <c r="W622" s="52"/>
      <c r="X622" s="52"/>
      <c r="Y622" s="52"/>
    </row>
    <row r="623">
      <c r="S623" s="52"/>
      <c r="T623" s="52"/>
      <c r="U623" s="52"/>
      <c r="V623" s="52"/>
      <c r="W623" s="52"/>
      <c r="X623" s="52"/>
      <c r="Y623" s="52"/>
    </row>
    <row r="624">
      <c r="S624" s="52"/>
      <c r="T624" s="52"/>
      <c r="U624" s="52"/>
      <c r="V624" s="52"/>
      <c r="W624" s="52"/>
      <c r="X624" s="52"/>
      <c r="Y624" s="52"/>
    </row>
    <row r="625">
      <c r="S625" s="52"/>
      <c r="T625" s="52"/>
      <c r="U625" s="52"/>
      <c r="V625" s="52"/>
      <c r="W625" s="52"/>
      <c r="X625" s="52"/>
      <c r="Y625" s="52"/>
    </row>
    <row r="626">
      <c r="S626" s="52"/>
      <c r="T626" s="52"/>
      <c r="U626" s="52"/>
      <c r="V626" s="52"/>
      <c r="W626" s="52"/>
      <c r="X626" s="52"/>
      <c r="Y626" s="52"/>
    </row>
    <row r="627">
      <c r="S627" s="52"/>
      <c r="T627" s="52"/>
      <c r="U627" s="52"/>
      <c r="V627" s="52"/>
      <c r="W627" s="52"/>
      <c r="X627" s="52"/>
      <c r="Y627" s="52"/>
    </row>
    <row r="628">
      <c r="S628" s="52"/>
      <c r="T628" s="52"/>
      <c r="U628" s="52"/>
      <c r="V628" s="52"/>
      <c r="W628" s="52"/>
      <c r="X628" s="52"/>
      <c r="Y628" s="52"/>
    </row>
    <row r="629">
      <c r="S629" s="52"/>
      <c r="T629" s="52"/>
      <c r="U629" s="52"/>
      <c r="V629" s="52"/>
      <c r="W629" s="52"/>
      <c r="X629" s="52"/>
      <c r="Y629" s="52"/>
    </row>
    <row r="630">
      <c r="S630" s="52"/>
      <c r="T630" s="52"/>
      <c r="U630" s="52"/>
      <c r="V630" s="52"/>
      <c r="W630" s="52"/>
      <c r="X630" s="52"/>
      <c r="Y630" s="52"/>
    </row>
    <row r="631">
      <c r="S631" s="52"/>
      <c r="T631" s="52"/>
      <c r="U631" s="52"/>
      <c r="V631" s="52"/>
      <c r="W631" s="52"/>
      <c r="X631" s="52"/>
      <c r="Y631" s="52"/>
    </row>
    <row r="632">
      <c r="S632" s="52"/>
      <c r="T632" s="52"/>
      <c r="U632" s="52"/>
      <c r="V632" s="52"/>
      <c r="W632" s="52"/>
      <c r="X632" s="52"/>
      <c r="Y632" s="52"/>
    </row>
    <row r="633">
      <c r="S633" s="52"/>
      <c r="T633" s="52"/>
      <c r="U633" s="52"/>
      <c r="V633" s="52"/>
      <c r="W633" s="52"/>
      <c r="X633" s="52"/>
      <c r="Y633" s="52"/>
    </row>
    <row r="634">
      <c r="S634" s="52"/>
      <c r="T634" s="52"/>
      <c r="U634" s="52"/>
      <c r="V634" s="52"/>
      <c r="W634" s="52"/>
      <c r="X634" s="52"/>
      <c r="Y634" s="52"/>
    </row>
    <row r="635">
      <c r="S635" s="52"/>
      <c r="T635" s="52"/>
      <c r="U635" s="52"/>
      <c r="V635" s="52"/>
      <c r="W635" s="52"/>
      <c r="X635" s="52"/>
      <c r="Y635" s="52"/>
    </row>
    <row r="636">
      <c r="S636" s="52"/>
      <c r="T636" s="52"/>
      <c r="U636" s="52"/>
      <c r="V636" s="52"/>
      <c r="W636" s="52"/>
      <c r="X636" s="52"/>
      <c r="Y636" s="52"/>
    </row>
    <row r="637">
      <c r="S637" s="52"/>
      <c r="T637" s="52"/>
      <c r="U637" s="52"/>
      <c r="V637" s="52"/>
      <c r="W637" s="52"/>
      <c r="X637" s="52"/>
      <c r="Y637" s="52"/>
    </row>
    <row r="638">
      <c r="S638" s="52"/>
      <c r="T638" s="52"/>
      <c r="U638" s="52"/>
      <c r="V638" s="52"/>
      <c r="W638" s="52"/>
      <c r="X638" s="52"/>
      <c r="Y638" s="52"/>
    </row>
    <row r="639">
      <c r="S639" s="52"/>
      <c r="T639" s="52"/>
      <c r="U639" s="52"/>
      <c r="V639" s="52"/>
      <c r="W639" s="52"/>
      <c r="X639" s="52"/>
      <c r="Y639" s="52"/>
    </row>
    <row r="640">
      <c r="S640" s="52"/>
      <c r="T640" s="52"/>
      <c r="U640" s="52"/>
      <c r="V640" s="52"/>
      <c r="W640" s="52"/>
      <c r="X640" s="52"/>
      <c r="Y640" s="52"/>
    </row>
    <row r="641">
      <c r="S641" s="52"/>
      <c r="T641" s="52"/>
      <c r="U641" s="52"/>
      <c r="V641" s="52"/>
      <c r="W641" s="52"/>
      <c r="X641" s="52"/>
      <c r="Y641" s="52"/>
    </row>
    <row r="642">
      <c r="S642" s="52"/>
      <c r="T642" s="52"/>
      <c r="U642" s="52"/>
      <c r="V642" s="52"/>
      <c r="W642" s="52"/>
      <c r="X642" s="52"/>
      <c r="Y642" s="52"/>
    </row>
    <row r="643">
      <c r="S643" s="52"/>
      <c r="T643" s="52"/>
      <c r="U643" s="52"/>
      <c r="V643" s="52"/>
      <c r="W643" s="52"/>
      <c r="X643" s="52"/>
      <c r="Y643" s="52"/>
    </row>
    <row r="644">
      <c r="S644" s="52"/>
      <c r="T644" s="52"/>
      <c r="U644" s="52"/>
      <c r="V644" s="52"/>
      <c r="W644" s="52"/>
      <c r="X644" s="52"/>
      <c r="Y644" s="52"/>
    </row>
    <row r="645">
      <c r="S645" s="52"/>
      <c r="T645" s="52"/>
      <c r="U645" s="52"/>
      <c r="V645" s="52"/>
      <c r="W645" s="52"/>
      <c r="X645" s="52"/>
      <c r="Y645" s="52"/>
    </row>
    <row r="646">
      <c r="S646" s="52"/>
      <c r="T646" s="52"/>
      <c r="U646" s="52"/>
      <c r="V646" s="52"/>
      <c r="W646" s="52"/>
      <c r="X646" s="52"/>
      <c r="Y646" s="52"/>
    </row>
    <row r="647">
      <c r="S647" s="52"/>
      <c r="T647" s="52"/>
      <c r="U647" s="52"/>
      <c r="V647" s="52"/>
      <c r="W647" s="52"/>
      <c r="X647" s="52"/>
      <c r="Y647" s="52"/>
    </row>
    <row r="648">
      <c r="S648" s="52"/>
      <c r="T648" s="52"/>
      <c r="U648" s="52"/>
      <c r="V648" s="52"/>
      <c r="W648" s="52"/>
      <c r="X648" s="52"/>
      <c r="Y648" s="52"/>
    </row>
    <row r="649">
      <c r="S649" s="52"/>
      <c r="T649" s="52"/>
      <c r="U649" s="52"/>
      <c r="V649" s="52"/>
      <c r="W649" s="52"/>
      <c r="X649" s="52"/>
      <c r="Y649" s="52"/>
    </row>
    <row r="650">
      <c r="S650" s="52"/>
      <c r="T650" s="52"/>
      <c r="U650" s="52"/>
      <c r="V650" s="52"/>
      <c r="W650" s="52"/>
      <c r="X650" s="52"/>
      <c r="Y650" s="52"/>
    </row>
    <row r="651">
      <c r="S651" s="52"/>
      <c r="T651" s="52"/>
      <c r="U651" s="52"/>
      <c r="V651" s="52"/>
      <c r="W651" s="52"/>
      <c r="X651" s="52"/>
      <c r="Y651" s="52"/>
    </row>
    <row r="652">
      <c r="S652" s="52"/>
      <c r="T652" s="52"/>
      <c r="U652" s="52"/>
      <c r="V652" s="52"/>
      <c r="W652" s="52"/>
      <c r="X652" s="52"/>
      <c r="Y652" s="52"/>
    </row>
    <row r="653">
      <c r="S653" s="52"/>
      <c r="T653" s="52"/>
      <c r="U653" s="52"/>
      <c r="V653" s="52"/>
      <c r="W653" s="52"/>
      <c r="X653" s="52"/>
      <c r="Y653" s="52"/>
    </row>
    <row r="654">
      <c r="S654" s="52"/>
      <c r="T654" s="52"/>
      <c r="U654" s="52"/>
      <c r="V654" s="52"/>
      <c r="W654" s="52"/>
      <c r="X654" s="52"/>
      <c r="Y654" s="52"/>
    </row>
    <row r="655">
      <c r="S655" s="52"/>
      <c r="T655" s="52"/>
      <c r="U655" s="52"/>
      <c r="V655" s="52"/>
      <c r="W655" s="52"/>
      <c r="X655" s="52"/>
      <c r="Y655" s="52"/>
    </row>
    <row r="656">
      <c r="S656" s="52"/>
      <c r="T656" s="52"/>
      <c r="U656" s="52"/>
      <c r="V656" s="52"/>
      <c r="W656" s="52"/>
      <c r="X656" s="52"/>
      <c r="Y656" s="52"/>
    </row>
    <row r="657">
      <c r="S657" s="52"/>
      <c r="T657" s="52"/>
      <c r="U657" s="52"/>
      <c r="V657" s="52"/>
      <c r="W657" s="52"/>
      <c r="X657" s="52"/>
      <c r="Y657" s="52"/>
    </row>
    <row r="658">
      <c r="S658" s="52"/>
      <c r="T658" s="52"/>
      <c r="U658" s="52"/>
      <c r="V658" s="52"/>
      <c r="W658" s="52"/>
      <c r="X658" s="52"/>
      <c r="Y658" s="52"/>
    </row>
    <row r="659">
      <c r="S659" s="52"/>
      <c r="T659" s="52"/>
      <c r="U659" s="52"/>
      <c r="V659" s="52"/>
      <c r="W659" s="52"/>
      <c r="X659" s="52"/>
      <c r="Y659" s="52"/>
    </row>
    <row r="660">
      <c r="S660" s="52"/>
      <c r="T660" s="52"/>
      <c r="U660" s="52"/>
      <c r="V660" s="52"/>
      <c r="W660" s="52"/>
      <c r="X660" s="52"/>
      <c r="Y660" s="52"/>
    </row>
    <row r="661">
      <c r="S661" s="52"/>
      <c r="T661" s="52"/>
      <c r="U661" s="52"/>
      <c r="V661" s="52"/>
      <c r="W661" s="52"/>
      <c r="X661" s="52"/>
      <c r="Y661" s="52"/>
    </row>
    <row r="662">
      <c r="S662" s="52"/>
      <c r="T662" s="52"/>
      <c r="U662" s="52"/>
      <c r="V662" s="52"/>
      <c r="W662" s="52"/>
      <c r="X662" s="52"/>
      <c r="Y662" s="52"/>
    </row>
    <row r="663">
      <c r="S663" s="52"/>
      <c r="T663" s="52"/>
      <c r="U663" s="52"/>
      <c r="V663" s="52"/>
      <c r="W663" s="52"/>
      <c r="X663" s="52"/>
      <c r="Y663" s="52"/>
    </row>
    <row r="664">
      <c r="S664" s="52"/>
      <c r="T664" s="52"/>
      <c r="U664" s="52"/>
      <c r="V664" s="52"/>
      <c r="W664" s="52"/>
      <c r="X664" s="52"/>
      <c r="Y664" s="52"/>
    </row>
    <row r="665">
      <c r="S665" s="52"/>
      <c r="T665" s="52"/>
      <c r="U665" s="52"/>
      <c r="V665" s="52"/>
      <c r="W665" s="52"/>
      <c r="X665" s="52"/>
      <c r="Y665" s="52"/>
    </row>
    <row r="666">
      <c r="S666" s="52"/>
      <c r="T666" s="52"/>
      <c r="U666" s="52"/>
      <c r="V666" s="52"/>
      <c r="W666" s="52"/>
      <c r="X666" s="52"/>
      <c r="Y666" s="52"/>
    </row>
    <row r="667">
      <c r="S667" s="52"/>
      <c r="T667" s="52"/>
      <c r="U667" s="52"/>
      <c r="V667" s="52"/>
      <c r="W667" s="52"/>
      <c r="X667" s="52"/>
      <c r="Y667" s="52"/>
    </row>
    <row r="668">
      <c r="S668" s="52"/>
      <c r="T668" s="52"/>
      <c r="U668" s="52"/>
      <c r="V668" s="52"/>
      <c r="W668" s="52"/>
      <c r="X668" s="52"/>
      <c r="Y668" s="52"/>
    </row>
    <row r="669">
      <c r="S669" s="52"/>
      <c r="T669" s="52"/>
      <c r="U669" s="52"/>
      <c r="V669" s="52"/>
      <c r="W669" s="52"/>
      <c r="X669" s="52"/>
      <c r="Y669" s="52"/>
    </row>
    <row r="670">
      <c r="S670" s="52"/>
      <c r="T670" s="52"/>
      <c r="U670" s="52"/>
      <c r="V670" s="52"/>
      <c r="W670" s="52"/>
      <c r="X670" s="52"/>
      <c r="Y670" s="52"/>
    </row>
    <row r="671">
      <c r="S671" s="52"/>
      <c r="T671" s="52"/>
      <c r="U671" s="52"/>
      <c r="V671" s="52"/>
      <c r="W671" s="52"/>
      <c r="X671" s="52"/>
      <c r="Y671" s="52"/>
    </row>
    <row r="672">
      <c r="S672" s="52"/>
      <c r="T672" s="52"/>
      <c r="U672" s="52"/>
      <c r="V672" s="52"/>
      <c r="W672" s="52"/>
      <c r="X672" s="52"/>
      <c r="Y672" s="52"/>
    </row>
    <row r="673">
      <c r="S673" s="52"/>
      <c r="T673" s="52"/>
      <c r="U673" s="52"/>
      <c r="V673" s="52"/>
      <c r="W673" s="52"/>
      <c r="X673" s="52"/>
      <c r="Y673" s="52"/>
    </row>
    <row r="674">
      <c r="S674" s="52"/>
      <c r="T674" s="52"/>
      <c r="U674" s="52"/>
      <c r="V674" s="52"/>
      <c r="W674" s="52"/>
      <c r="X674" s="52"/>
      <c r="Y674" s="52"/>
    </row>
    <row r="675">
      <c r="S675" s="52"/>
      <c r="T675" s="52"/>
      <c r="U675" s="52"/>
      <c r="V675" s="52"/>
      <c r="W675" s="52"/>
      <c r="X675" s="52"/>
      <c r="Y675" s="52"/>
    </row>
    <row r="676">
      <c r="S676" s="52"/>
      <c r="T676" s="52"/>
      <c r="U676" s="52"/>
      <c r="V676" s="52"/>
      <c r="W676" s="52"/>
      <c r="X676" s="52"/>
      <c r="Y676" s="52"/>
    </row>
    <row r="677">
      <c r="S677" s="52"/>
      <c r="T677" s="52"/>
      <c r="U677" s="52"/>
      <c r="V677" s="52"/>
      <c r="W677" s="52"/>
      <c r="X677" s="52"/>
      <c r="Y677" s="52"/>
    </row>
    <row r="678">
      <c r="S678" s="52"/>
      <c r="T678" s="52"/>
      <c r="U678" s="52"/>
      <c r="V678" s="52"/>
      <c r="W678" s="52"/>
      <c r="X678" s="52"/>
      <c r="Y678" s="52"/>
    </row>
    <row r="679">
      <c r="S679" s="52"/>
      <c r="T679" s="52"/>
      <c r="U679" s="52"/>
      <c r="V679" s="52"/>
      <c r="W679" s="52"/>
      <c r="X679" s="52"/>
      <c r="Y679" s="52"/>
    </row>
    <row r="680">
      <c r="S680" s="52"/>
      <c r="T680" s="52"/>
      <c r="U680" s="52"/>
      <c r="V680" s="52"/>
      <c r="W680" s="52"/>
      <c r="X680" s="52"/>
      <c r="Y680" s="52"/>
    </row>
    <row r="681">
      <c r="S681" s="52"/>
      <c r="T681" s="52"/>
      <c r="U681" s="52"/>
      <c r="V681" s="52"/>
      <c r="W681" s="52"/>
      <c r="X681" s="52"/>
      <c r="Y681" s="52"/>
    </row>
    <row r="682">
      <c r="S682" s="52"/>
      <c r="T682" s="52"/>
      <c r="U682" s="52"/>
      <c r="V682" s="52"/>
      <c r="W682" s="52"/>
      <c r="X682" s="52"/>
      <c r="Y682" s="52"/>
    </row>
    <row r="683">
      <c r="S683" s="52"/>
      <c r="T683" s="52"/>
      <c r="U683" s="52"/>
      <c r="V683" s="52"/>
      <c r="W683" s="52"/>
      <c r="X683" s="52"/>
      <c r="Y683" s="52"/>
    </row>
    <row r="684">
      <c r="S684" s="52"/>
      <c r="T684" s="52"/>
      <c r="U684" s="52"/>
      <c r="V684" s="52"/>
      <c r="W684" s="52"/>
      <c r="X684" s="52"/>
      <c r="Y684" s="52"/>
    </row>
    <row r="685">
      <c r="S685" s="52"/>
      <c r="T685" s="52"/>
      <c r="U685" s="52"/>
      <c r="V685" s="52"/>
      <c r="W685" s="52"/>
      <c r="X685" s="52"/>
      <c r="Y685" s="52"/>
    </row>
    <row r="686">
      <c r="S686" s="52"/>
      <c r="T686" s="52"/>
      <c r="U686" s="52"/>
      <c r="V686" s="52"/>
      <c r="W686" s="52"/>
      <c r="X686" s="52"/>
      <c r="Y686" s="52"/>
    </row>
    <row r="687">
      <c r="S687" s="52"/>
      <c r="T687" s="52"/>
      <c r="U687" s="52"/>
      <c r="V687" s="52"/>
      <c r="W687" s="52"/>
      <c r="X687" s="52"/>
      <c r="Y687" s="52"/>
    </row>
    <row r="688">
      <c r="S688" s="52"/>
      <c r="T688" s="52"/>
      <c r="U688" s="52"/>
      <c r="V688" s="52"/>
      <c r="W688" s="52"/>
      <c r="X688" s="52"/>
      <c r="Y688" s="52"/>
    </row>
    <row r="689">
      <c r="S689" s="52"/>
      <c r="T689" s="52"/>
      <c r="U689" s="52"/>
      <c r="V689" s="52"/>
      <c r="W689" s="52"/>
      <c r="X689" s="52"/>
      <c r="Y689" s="52"/>
    </row>
    <row r="690">
      <c r="S690" s="52"/>
      <c r="T690" s="52"/>
      <c r="U690" s="52"/>
      <c r="V690" s="52"/>
      <c r="W690" s="52"/>
      <c r="X690" s="52"/>
      <c r="Y690" s="52"/>
    </row>
    <row r="691">
      <c r="S691" s="52"/>
      <c r="T691" s="52"/>
      <c r="U691" s="52"/>
      <c r="V691" s="52"/>
      <c r="W691" s="52"/>
      <c r="X691" s="52"/>
      <c r="Y691" s="52"/>
    </row>
    <row r="692">
      <c r="S692" s="52"/>
      <c r="T692" s="52"/>
      <c r="U692" s="52"/>
      <c r="V692" s="52"/>
      <c r="W692" s="52"/>
      <c r="X692" s="52"/>
      <c r="Y692" s="52"/>
    </row>
    <row r="693">
      <c r="S693" s="52"/>
      <c r="T693" s="52"/>
      <c r="U693" s="52"/>
      <c r="V693" s="52"/>
      <c r="W693" s="52"/>
      <c r="X693" s="52"/>
      <c r="Y693" s="52"/>
    </row>
    <row r="694">
      <c r="S694" s="52"/>
      <c r="T694" s="52"/>
      <c r="U694" s="52"/>
      <c r="V694" s="52"/>
      <c r="W694" s="52"/>
      <c r="X694" s="52"/>
      <c r="Y694" s="52"/>
    </row>
    <row r="695">
      <c r="S695" s="52"/>
      <c r="T695" s="52"/>
      <c r="U695" s="52"/>
      <c r="V695" s="52"/>
      <c r="W695" s="52"/>
      <c r="X695" s="52"/>
      <c r="Y695" s="52"/>
    </row>
    <row r="696">
      <c r="S696" s="52"/>
      <c r="T696" s="52"/>
      <c r="U696" s="52"/>
      <c r="V696" s="52"/>
      <c r="W696" s="52"/>
      <c r="X696" s="52"/>
      <c r="Y696" s="52"/>
    </row>
    <row r="697">
      <c r="S697" s="52"/>
      <c r="T697" s="52"/>
      <c r="U697" s="52"/>
      <c r="V697" s="52"/>
      <c r="W697" s="52"/>
      <c r="X697" s="52"/>
      <c r="Y697" s="52"/>
    </row>
    <row r="698">
      <c r="S698" s="52"/>
      <c r="T698" s="52"/>
      <c r="U698" s="52"/>
      <c r="V698" s="52"/>
      <c r="W698" s="52"/>
      <c r="X698" s="52"/>
      <c r="Y698" s="52"/>
    </row>
    <row r="699">
      <c r="S699" s="52"/>
      <c r="T699" s="52"/>
      <c r="U699" s="52"/>
      <c r="V699" s="52"/>
      <c r="W699" s="52"/>
      <c r="X699" s="52"/>
      <c r="Y699" s="52"/>
    </row>
    <row r="700">
      <c r="S700" s="52"/>
      <c r="T700" s="52"/>
      <c r="U700" s="52"/>
      <c r="V700" s="52"/>
      <c r="W700" s="52"/>
      <c r="X700" s="52"/>
      <c r="Y700" s="52"/>
    </row>
    <row r="701">
      <c r="S701" s="52"/>
      <c r="T701" s="52"/>
      <c r="U701" s="52"/>
      <c r="V701" s="52"/>
      <c r="W701" s="52"/>
      <c r="X701" s="52"/>
      <c r="Y701" s="52"/>
    </row>
    <row r="702">
      <c r="S702" s="52"/>
      <c r="T702" s="52"/>
      <c r="U702" s="52"/>
      <c r="V702" s="52"/>
      <c r="W702" s="52"/>
      <c r="X702" s="52"/>
      <c r="Y702" s="52"/>
    </row>
    <row r="703">
      <c r="S703" s="52"/>
      <c r="T703" s="52"/>
      <c r="U703" s="52"/>
      <c r="V703" s="52"/>
      <c r="W703" s="52"/>
      <c r="X703" s="52"/>
      <c r="Y703" s="52"/>
    </row>
    <row r="704">
      <c r="S704" s="52"/>
      <c r="T704" s="52"/>
      <c r="U704" s="52"/>
      <c r="V704" s="52"/>
      <c r="W704" s="52"/>
      <c r="X704" s="52"/>
      <c r="Y704" s="52"/>
    </row>
    <row r="705">
      <c r="S705" s="52"/>
      <c r="T705" s="52"/>
      <c r="U705" s="52"/>
      <c r="V705" s="52"/>
      <c r="W705" s="52"/>
      <c r="X705" s="52"/>
      <c r="Y705" s="52"/>
    </row>
    <row r="706">
      <c r="S706" s="52"/>
      <c r="T706" s="52"/>
      <c r="U706" s="52"/>
      <c r="V706" s="52"/>
      <c r="W706" s="52"/>
      <c r="X706" s="52"/>
      <c r="Y706" s="52"/>
    </row>
    <row r="707">
      <c r="S707" s="52"/>
      <c r="T707" s="52"/>
      <c r="U707" s="52"/>
      <c r="V707" s="52"/>
      <c r="W707" s="52"/>
      <c r="X707" s="52"/>
      <c r="Y707" s="52"/>
    </row>
    <row r="708">
      <c r="S708" s="52"/>
      <c r="T708" s="52"/>
      <c r="U708" s="52"/>
      <c r="V708" s="52"/>
      <c r="W708" s="52"/>
      <c r="X708" s="52"/>
      <c r="Y708" s="52"/>
    </row>
    <row r="709">
      <c r="S709" s="52"/>
      <c r="T709" s="52"/>
      <c r="U709" s="52"/>
      <c r="V709" s="52"/>
      <c r="W709" s="52"/>
      <c r="X709" s="52"/>
      <c r="Y709" s="52"/>
    </row>
    <row r="710">
      <c r="S710" s="52"/>
      <c r="T710" s="52"/>
      <c r="U710" s="52"/>
      <c r="V710" s="52"/>
      <c r="W710" s="52"/>
      <c r="X710" s="52"/>
      <c r="Y710" s="52"/>
    </row>
    <row r="711">
      <c r="S711" s="52"/>
      <c r="T711" s="52"/>
      <c r="U711" s="52"/>
      <c r="V711" s="52"/>
      <c r="W711" s="52"/>
      <c r="X711" s="52"/>
      <c r="Y711" s="52"/>
    </row>
    <row r="712">
      <c r="S712" s="52"/>
      <c r="T712" s="52"/>
      <c r="U712" s="52"/>
      <c r="V712" s="52"/>
      <c r="W712" s="52"/>
      <c r="X712" s="52"/>
      <c r="Y712" s="52"/>
    </row>
    <row r="713">
      <c r="S713" s="52"/>
      <c r="T713" s="52"/>
      <c r="U713" s="52"/>
      <c r="V713" s="52"/>
      <c r="W713" s="52"/>
      <c r="X713" s="52"/>
      <c r="Y713" s="52"/>
    </row>
    <row r="714">
      <c r="S714" s="52"/>
      <c r="T714" s="52"/>
      <c r="U714" s="52"/>
      <c r="V714" s="52"/>
      <c r="W714" s="52"/>
      <c r="X714" s="52"/>
      <c r="Y714" s="52"/>
    </row>
    <row r="715">
      <c r="S715" s="52"/>
      <c r="T715" s="52"/>
      <c r="U715" s="52"/>
      <c r="V715" s="52"/>
      <c r="W715" s="52"/>
      <c r="X715" s="52"/>
      <c r="Y715" s="52"/>
    </row>
    <row r="716">
      <c r="S716" s="52"/>
      <c r="T716" s="52"/>
      <c r="U716" s="52"/>
      <c r="V716" s="52"/>
      <c r="W716" s="52"/>
      <c r="X716" s="52"/>
      <c r="Y716" s="52"/>
    </row>
    <row r="717">
      <c r="S717" s="52"/>
      <c r="T717" s="52"/>
      <c r="U717" s="52"/>
      <c r="V717" s="52"/>
      <c r="W717" s="52"/>
      <c r="X717" s="52"/>
      <c r="Y717" s="52"/>
    </row>
    <row r="718">
      <c r="S718" s="52"/>
      <c r="T718" s="52"/>
      <c r="U718" s="52"/>
      <c r="V718" s="52"/>
      <c r="W718" s="52"/>
      <c r="X718" s="52"/>
      <c r="Y718" s="52"/>
    </row>
    <row r="719">
      <c r="S719" s="52"/>
      <c r="T719" s="52"/>
      <c r="U719" s="52"/>
      <c r="V719" s="52"/>
      <c r="W719" s="52"/>
      <c r="X719" s="52"/>
      <c r="Y719" s="52"/>
    </row>
    <row r="720">
      <c r="S720" s="52"/>
      <c r="T720" s="52"/>
      <c r="U720" s="52"/>
      <c r="V720" s="52"/>
      <c r="W720" s="52"/>
      <c r="X720" s="52"/>
      <c r="Y720" s="52"/>
    </row>
    <row r="721">
      <c r="S721" s="52"/>
      <c r="T721" s="52"/>
      <c r="U721" s="52"/>
      <c r="V721" s="52"/>
      <c r="W721" s="52"/>
      <c r="X721" s="52"/>
      <c r="Y721" s="52"/>
    </row>
    <row r="722">
      <c r="S722" s="52"/>
      <c r="T722" s="52"/>
      <c r="U722" s="52"/>
      <c r="V722" s="52"/>
      <c r="W722" s="52"/>
      <c r="X722" s="52"/>
      <c r="Y722" s="52"/>
    </row>
    <row r="723">
      <c r="S723" s="52"/>
      <c r="T723" s="52"/>
      <c r="U723" s="52"/>
      <c r="V723" s="52"/>
      <c r="W723" s="52"/>
      <c r="X723" s="52"/>
      <c r="Y723" s="52"/>
    </row>
    <row r="724">
      <c r="S724" s="52"/>
      <c r="T724" s="52"/>
      <c r="U724" s="52"/>
      <c r="V724" s="52"/>
      <c r="W724" s="52"/>
      <c r="X724" s="52"/>
      <c r="Y724" s="52"/>
    </row>
    <row r="725">
      <c r="S725" s="52"/>
      <c r="T725" s="52"/>
      <c r="U725" s="52"/>
      <c r="V725" s="52"/>
      <c r="W725" s="52"/>
      <c r="X725" s="52"/>
      <c r="Y725" s="52"/>
    </row>
    <row r="726">
      <c r="S726" s="52"/>
      <c r="T726" s="52"/>
      <c r="U726" s="52"/>
      <c r="V726" s="52"/>
      <c r="W726" s="52"/>
      <c r="X726" s="52"/>
      <c r="Y726" s="52"/>
    </row>
    <row r="727">
      <c r="S727" s="52"/>
      <c r="T727" s="52"/>
      <c r="U727" s="52"/>
      <c r="V727" s="52"/>
      <c r="W727" s="52"/>
      <c r="X727" s="52"/>
      <c r="Y727" s="52"/>
    </row>
    <row r="728">
      <c r="S728" s="52"/>
      <c r="T728" s="52"/>
      <c r="U728" s="52"/>
      <c r="V728" s="52"/>
      <c r="W728" s="52"/>
      <c r="X728" s="52"/>
      <c r="Y728" s="52"/>
    </row>
    <row r="729">
      <c r="S729" s="52"/>
      <c r="T729" s="52"/>
      <c r="U729" s="52"/>
      <c r="V729" s="52"/>
      <c r="W729" s="52"/>
      <c r="X729" s="52"/>
      <c r="Y729" s="52"/>
    </row>
    <row r="730">
      <c r="S730" s="52"/>
      <c r="T730" s="52"/>
      <c r="U730" s="52"/>
      <c r="V730" s="52"/>
      <c r="W730" s="52"/>
      <c r="X730" s="52"/>
      <c r="Y730" s="52"/>
    </row>
    <row r="731">
      <c r="S731" s="52"/>
      <c r="T731" s="52"/>
      <c r="U731" s="52"/>
      <c r="V731" s="52"/>
      <c r="W731" s="52"/>
      <c r="X731" s="52"/>
      <c r="Y731" s="52"/>
    </row>
    <row r="732">
      <c r="S732" s="52"/>
      <c r="T732" s="52"/>
      <c r="U732" s="52"/>
      <c r="V732" s="52"/>
      <c r="W732" s="52"/>
      <c r="X732" s="52"/>
      <c r="Y732" s="52"/>
    </row>
    <row r="733">
      <c r="S733" s="52"/>
      <c r="T733" s="52"/>
      <c r="U733" s="52"/>
      <c r="V733" s="52"/>
      <c r="W733" s="52"/>
      <c r="X733" s="52"/>
      <c r="Y733" s="52"/>
    </row>
    <row r="734">
      <c r="S734" s="52"/>
      <c r="T734" s="52"/>
      <c r="U734" s="52"/>
      <c r="V734" s="52"/>
      <c r="W734" s="52"/>
      <c r="X734" s="52"/>
      <c r="Y734" s="52"/>
    </row>
    <row r="735">
      <c r="S735" s="52"/>
      <c r="T735" s="52"/>
      <c r="U735" s="52"/>
      <c r="V735" s="52"/>
      <c r="W735" s="52"/>
      <c r="X735" s="52"/>
      <c r="Y735" s="52"/>
    </row>
    <row r="736">
      <c r="S736" s="52"/>
      <c r="T736" s="52"/>
      <c r="U736" s="52"/>
      <c r="V736" s="52"/>
      <c r="W736" s="52"/>
      <c r="X736" s="52"/>
      <c r="Y736" s="52"/>
    </row>
    <row r="737">
      <c r="S737" s="52"/>
      <c r="T737" s="52"/>
      <c r="U737" s="52"/>
      <c r="V737" s="52"/>
      <c r="W737" s="52"/>
      <c r="X737" s="52"/>
      <c r="Y737" s="52"/>
    </row>
    <row r="738">
      <c r="S738" s="52"/>
      <c r="T738" s="52"/>
      <c r="U738" s="52"/>
      <c r="V738" s="52"/>
      <c r="W738" s="52"/>
      <c r="X738" s="52"/>
      <c r="Y738" s="52"/>
    </row>
    <row r="739">
      <c r="S739" s="52"/>
      <c r="T739" s="52"/>
      <c r="U739" s="52"/>
      <c r="V739" s="52"/>
      <c r="W739" s="52"/>
      <c r="X739" s="52"/>
      <c r="Y739" s="52"/>
    </row>
    <row r="740">
      <c r="S740" s="52"/>
      <c r="T740" s="52"/>
      <c r="U740" s="52"/>
      <c r="V740" s="52"/>
      <c r="W740" s="52"/>
      <c r="X740" s="52"/>
      <c r="Y740" s="52"/>
    </row>
    <row r="741">
      <c r="S741" s="52"/>
      <c r="T741" s="52"/>
      <c r="U741" s="52"/>
      <c r="V741" s="52"/>
      <c r="W741" s="52"/>
      <c r="X741" s="52"/>
      <c r="Y741" s="52"/>
    </row>
    <row r="742">
      <c r="S742" s="52"/>
      <c r="T742" s="52"/>
      <c r="U742" s="52"/>
      <c r="V742" s="52"/>
      <c r="W742" s="52"/>
      <c r="X742" s="52"/>
      <c r="Y742" s="52"/>
    </row>
    <row r="743">
      <c r="S743" s="52"/>
      <c r="T743" s="52"/>
      <c r="U743" s="52"/>
      <c r="V743" s="52"/>
      <c r="W743" s="52"/>
      <c r="X743" s="52"/>
      <c r="Y743" s="52"/>
    </row>
    <row r="744">
      <c r="S744" s="52"/>
      <c r="T744" s="52"/>
      <c r="U744" s="52"/>
      <c r="V744" s="52"/>
      <c r="W744" s="52"/>
      <c r="X744" s="52"/>
      <c r="Y744" s="52"/>
    </row>
    <row r="745">
      <c r="S745" s="52"/>
      <c r="T745" s="52"/>
      <c r="U745" s="52"/>
      <c r="V745" s="52"/>
      <c r="W745" s="52"/>
      <c r="X745" s="52"/>
      <c r="Y745" s="52"/>
    </row>
    <row r="746">
      <c r="S746" s="52"/>
      <c r="T746" s="52"/>
      <c r="U746" s="52"/>
      <c r="V746" s="52"/>
      <c r="W746" s="52"/>
      <c r="X746" s="52"/>
      <c r="Y746" s="52"/>
    </row>
    <row r="747">
      <c r="S747" s="52"/>
      <c r="T747" s="52"/>
      <c r="U747" s="52"/>
      <c r="V747" s="52"/>
      <c r="W747" s="52"/>
      <c r="X747" s="52"/>
      <c r="Y747" s="52"/>
    </row>
    <row r="748">
      <c r="S748" s="52"/>
      <c r="T748" s="52"/>
      <c r="U748" s="52"/>
      <c r="V748" s="52"/>
      <c r="W748" s="52"/>
      <c r="X748" s="52"/>
      <c r="Y748" s="52"/>
    </row>
    <row r="749">
      <c r="S749" s="52"/>
      <c r="T749" s="52"/>
      <c r="U749" s="52"/>
      <c r="V749" s="52"/>
      <c r="W749" s="52"/>
      <c r="X749" s="52"/>
      <c r="Y749" s="52"/>
    </row>
    <row r="750">
      <c r="S750" s="52"/>
      <c r="T750" s="52"/>
      <c r="U750" s="52"/>
      <c r="V750" s="52"/>
      <c r="W750" s="52"/>
      <c r="X750" s="52"/>
      <c r="Y750" s="52"/>
    </row>
    <row r="751">
      <c r="S751" s="52"/>
      <c r="T751" s="52"/>
      <c r="U751" s="52"/>
      <c r="V751" s="52"/>
      <c r="W751" s="52"/>
      <c r="X751" s="52"/>
      <c r="Y751" s="52"/>
    </row>
    <row r="752">
      <c r="S752" s="52"/>
      <c r="T752" s="52"/>
      <c r="U752" s="52"/>
      <c r="V752" s="52"/>
      <c r="W752" s="52"/>
      <c r="X752" s="52"/>
      <c r="Y752" s="52"/>
    </row>
    <row r="753">
      <c r="S753" s="52"/>
      <c r="T753" s="52"/>
      <c r="U753" s="52"/>
      <c r="V753" s="52"/>
      <c r="W753" s="52"/>
      <c r="X753" s="52"/>
      <c r="Y753" s="52"/>
    </row>
    <row r="754">
      <c r="S754" s="52"/>
      <c r="T754" s="52"/>
      <c r="U754" s="52"/>
      <c r="V754" s="52"/>
      <c r="W754" s="52"/>
      <c r="X754" s="52"/>
      <c r="Y754" s="52"/>
    </row>
    <row r="755">
      <c r="S755" s="52"/>
      <c r="T755" s="52"/>
      <c r="U755" s="52"/>
      <c r="V755" s="52"/>
      <c r="W755" s="52"/>
      <c r="X755" s="52"/>
      <c r="Y755" s="52"/>
    </row>
    <row r="756">
      <c r="S756" s="52"/>
      <c r="T756" s="52"/>
      <c r="U756" s="52"/>
      <c r="V756" s="52"/>
      <c r="W756" s="52"/>
      <c r="X756" s="52"/>
      <c r="Y756" s="52"/>
    </row>
    <row r="757">
      <c r="S757" s="52"/>
      <c r="T757" s="52"/>
      <c r="U757" s="52"/>
      <c r="V757" s="52"/>
      <c r="W757" s="52"/>
      <c r="X757" s="52"/>
      <c r="Y757" s="52"/>
    </row>
    <row r="758">
      <c r="S758" s="52"/>
      <c r="T758" s="52"/>
      <c r="U758" s="52"/>
      <c r="V758" s="52"/>
      <c r="W758" s="52"/>
      <c r="X758" s="52"/>
      <c r="Y758" s="52"/>
    </row>
    <row r="759">
      <c r="S759" s="52"/>
      <c r="T759" s="52"/>
      <c r="U759" s="52"/>
      <c r="V759" s="52"/>
      <c r="W759" s="52"/>
      <c r="X759" s="52"/>
      <c r="Y759" s="52"/>
    </row>
    <row r="760">
      <c r="S760" s="52"/>
      <c r="T760" s="52"/>
      <c r="U760" s="52"/>
      <c r="V760" s="52"/>
      <c r="W760" s="52"/>
      <c r="X760" s="52"/>
      <c r="Y760" s="52"/>
    </row>
    <row r="761">
      <c r="S761" s="52"/>
      <c r="T761" s="52"/>
      <c r="U761" s="52"/>
      <c r="V761" s="52"/>
      <c r="W761" s="52"/>
      <c r="X761" s="52"/>
      <c r="Y761" s="52"/>
    </row>
    <row r="762">
      <c r="S762" s="52"/>
      <c r="T762" s="52"/>
      <c r="U762" s="52"/>
      <c r="V762" s="52"/>
      <c r="W762" s="52"/>
      <c r="X762" s="52"/>
      <c r="Y762" s="52"/>
    </row>
    <row r="763">
      <c r="S763" s="52"/>
      <c r="T763" s="52"/>
      <c r="U763" s="52"/>
      <c r="V763" s="52"/>
      <c r="W763" s="52"/>
      <c r="X763" s="52"/>
      <c r="Y763" s="52"/>
    </row>
    <row r="764">
      <c r="S764" s="52"/>
      <c r="T764" s="52"/>
      <c r="U764" s="52"/>
      <c r="V764" s="52"/>
      <c r="W764" s="52"/>
      <c r="X764" s="52"/>
      <c r="Y764" s="52"/>
    </row>
    <row r="765">
      <c r="S765" s="52"/>
      <c r="T765" s="52"/>
      <c r="U765" s="52"/>
      <c r="V765" s="52"/>
      <c r="W765" s="52"/>
      <c r="X765" s="52"/>
      <c r="Y765" s="52"/>
    </row>
    <row r="766">
      <c r="S766" s="52"/>
      <c r="T766" s="52"/>
      <c r="U766" s="52"/>
      <c r="V766" s="52"/>
      <c r="W766" s="52"/>
      <c r="X766" s="52"/>
      <c r="Y766" s="52"/>
    </row>
    <row r="767">
      <c r="S767" s="52"/>
      <c r="T767" s="52"/>
      <c r="U767" s="52"/>
      <c r="V767" s="52"/>
      <c r="W767" s="52"/>
      <c r="X767" s="52"/>
      <c r="Y767" s="52"/>
    </row>
    <row r="768">
      <c r="S768" s="52"/>
      <c r="T768" s="52"/>
      <c r="U768" s="52"/>
      <c r="V768" s="52"/>
      <c r="W768" s="52"/>
      <c r="X768" s="52"/>
      <c r="Y768" s="52"/>
    </row>
    <row r="769">
      <c r="S769" s="52"/>
      <c r="T769" s="52"/>
      <c r="U769" s="52"/>
      <c r="V769" s="52"/>
      <c r="W769" s="52"/>
      <c r="X769" s="52"/>
      <c r="Y769" s="52"/>
    </row>
    <row r="770">
      <c r="S770" s="52"/>
      <c r="T770" s="52"/>
      <c r="U770" s="52"/>
      <c r="V770" s="52"/>
      <c r="W770" s="52"/>
      <c r="X770" s="52"/>
      <c r="Y770" s="52"/>
    </row>
    <row r="771">
      <c r="S771" s="52"/>
      <c r="T771" s="52"/>
      <c r="U771" s="52"/>
      <c r="V771" s="52"/>
      <c r="W771" s="52"/>
      <c r="X771" s="52"/>
      <c r="Y771" s="52"/>
    </row>
    <row r="772">
      <c r="S772" s="52"/>
      <c r="T772" s="52"/>
      <c r="U772" s="52"/>
      <c r="V772" s="52"/>
      <c r="W772" s="52"/>
      <c r="X772" s="52"/>
      <c r="Y772" s="52"/>
    </row>
    <row r="773">
      <c r="S773" s="52"/>
      <c r="T773" s="52"/>
      <c r="U773" s="52"/>
      <c r="V773" s="52"/>
      <c r="W773" s="52"/>
      <c r="X773" s="52"/>
      <c r="Y773" s="52"/>
    </row>
    <row r="774">
      <c r="S774" s="52"/>
      <c r="T774" s="52"/>
      <c r="U774" s="52"/>
      <c r="V774" s="52"/>
      <c r="W774" s="52"/>
      <c r="X774" s="52"/>
      <c r="Y774" s="52"/>
    </row>
    <row r="775">
      <c r="S775" s="52"/>
      <c r="T775" s="52"/>
      <c r="U775" s="52"/>
      <c r="V775" s="52"/>
      <c r="W775" s="52"/>
      <c r="X775" s="52"/>
      <c r="Y775" s="52"/>
    </row>
    <row r="776">
      <c r="S776" s="52"/>
      <c r="T776" s="52"/>
      <c r="U776" s="52"/>
      <c r="V776" s="52"/>
      <c r="W776" s="52"/>
      <c r="X776" s="52"/>
      <c r="Y776" s="52"/>
    </row>
    <row r="777">
      <c r="S777" s="52"/>
      <c r="T777" s="52"/>
      <c r="U777" s="52"/>
      <c r="V777" s="52"/>
      <c r="W777" s="52"/>
      <c r="X777" s="52"/>
      <c r="Y777" s="52"/>
    </row>
    <row r="778">
      <c r="S778" s="52"/>
      <c r="T778" s="52"/>
      <c r="U778" s="52"/>
      <c r="V778" s="52"/>
      <c r="W778" s="52"/>
      <c r="X778" s="52"/>
      <c r="Y778" s="52"/>
    </row>
    <row r="779">
      <c r="S779" s="52"/>
      <c r="T779" s="52"/>
      <c r="U779" s="52"/>
      <c r="V779" s="52"/>
      <c r="W779" s="52"/>
      <c r="X779" s="52"/>
      <c r="Y779" s="52"/>
    </row>
    <row r="780">
      <c r="S780" s="52"/>
      <c r="T780" s="52"/>
      <c r="U780" s="52"/>
      <c r="V780" s="52"/>
      <c r="W780" s="52"/>
      <c r="X780" s="52"/>
      <c r="Y780" s="52"/>
    </row>
    <row r="781">
      <c r="S781" s="52"/>
      <c r="T781" s="52"/>
      <c r="U781" s="52"/>
      <c r="V781" s="52"/>
      <c r="W781" s="52"/>
      <c r="X781" s="52"/>
      <c r="Y781" s="52"/>
    </row>
    <row r="782">
      <c r="S782" s="52"/>
      <c r="T782" s="52"/>
      <c r="U782" s="52"/>
      <c r="V782" s="52"/>
      <c r="W782" s="52"/>
      <c r="X782" s="52"/>
      <c r="Y782" s="52"/>
    </row>
    <row r="783">
      <c r="S783" s="52"/>
      <c r="T783" s="52"/>
      <c r="U783" s="52"/>
      <c r="V783" s="52"/>
      <c r="W783" s="52"/>
      <c r="X783" s="52"/>
      <c r="Y783" s="52"/>
    </row>
    <row r="784">
      <c r="S784" s="52"/>
      <c r="T784" s="52"/>
      <c r="U784" s="52"/>
      <c r="V784" s="52"/>
      <c r="W784" s="52"/>
      <c r="X784" s="52"/>
      <c r="Y784" s="52"/>
    </row>
    <row r="785">
      <c r="S785" s="52"/>
      <c r="T785" s="52"/>
      <c r="U785" s="52"/>
      <c r="V785" s="52"/>
      <c r="W785" s="52"/>
      <c r="X785" s="52"/>
      <c r="Y785" s="52"/>
    </row>
    <row r="786">
      <c r="S786" s="52"/>
      <c r="T786" s="52"/>
      <c r="U786" s="52"/>
      <c r="V786" s="52"/>
      <c r="W786" s="52"/>
      <c r="X786" s="52"/>
      <c r="Y786" s="52"/>
    </row>
    <row r="787">
      <c r="S787" s="52"/>
      <c r="T787" s="52"/>
      <c r="U787" s="52"/>
      <c r="V787" s="52"/>
      <c r="W787" s="52"/>
      <c r="X787" s="52"/>
      <c r="Y787" s="52"/>
    </row>
    <row r="788">
      <c r="S788" s="52"/>
      <c r="T788" s="52"/>
      <c r="U788" s="52"/>
      <c r="V788" s="52"/>
      <c r="W788" s="52"/>
      <c r="X788" s="52"/>
      <c r="Y788" s="52"/>
    </row>
    <row r="789">
      <c r="S789" s="52"/>
      <c r="T789" s="52"/>
      <c r="U789" s="52"/>
      <c r="V789" s="52"/>
      <c r="W789" s="52"/>
      <c r="X789" s="52"/>
      <c r="Y789" s="52"/>
    </row>
    <row r="790">
      <c r="S790" s="52"/>
      <c r="T790" s="52"/>
      <c r="U790" s="52"/>
      <c r="V790" s="52"/>
      <c r="W790" s="52"/>
      <c r="X790" s="52"/>
      <c r="Y790" s="52"/>
    </row>
    <row r="791">
      <c r="S791" s="52"/>
      <c r="T791" s="52"/>
      <c r="U791" s="52"/>
      <c r="V791" s="52"/>
      <c r="W791" s="52"/>
      <c r="X791" s="52"/>
      <c r="Y791" s="52"/>
    </row>
    <row r="792">
      <c r="S792" s="52"/>
      <c r="T792" s="52"/>
      <c r="U792" s="52"/>
      <c r="V792" s="52"/>
      <c r="W792" s="52"/>
      <c r="X792" s="52"/>
      <c r="Y792" s="52"/>
    </row>
    <row r="793">
      <c r="S793" s="52"/>
      <c r="T793" s="52"/>
      <c r="U793" s="52"/>
      <c r="V793" s="52"/>
      <c r="W793" s="52"/>
      <c r="X793" s="52"/>
      <c r="Y793" s="52"/>
    </row>
    <row r="794">
      <c r="S794" s="52"/>
      <c r="T794" s="52"/>
      <c r="U794" s="52"/>
      <c r="V794" s="52"/>
      <c r="W794" s="52"/>
      <c r="X794" s="52"/>
      <c r="Y794" s="52"/>
    </row>
    <row r="795">
      <c r="S795" s="52"/>
      <c r="T795" s="52"/>
      <c r="U795" s="52"/>
      <c r="V795" s="52"/>
      <c r="W795" s="52"/>
      <c r="X795" s="52"/>
      <c r="Y795" s="52"/>
    </row>
    <row r="796">
      <c r="S796" s="52"/>
      <c r="T796" s="52"/>
      <c r="U796" s="52"/>
      <c r="V796" s="52"/>
      <c r="W796" s="52"/>
      <c r="X796" s="52"/>
      <c r="Y796" s="52"/>
    </row>
    <row r="797">
      <c r="S797" s="52"/>
      <c r="T797" s="52"/>
      <c r="U797" s="52"/>
      <c r="V797" s="52"/>
      <c r="W797" s="52"/>
      <c r="X797" s="52"/>
      <c r="Y797" s="52"/>
    </row>
    <row r="798">
      <c r="S798" s="52"/>
      <c r="T798" s="52"/>
      <c r="U798" s="52"/>
      <c r="V798" s="52"/>
      <c r="W798" s="52"/>
      <c r="X798" s="52"/>
      <c r="Y798" s="52"/>
    </row>
    <row r="799">
      <c r="S799" s="52"/>
      <c r="T799" s="52"/>
      <c r="U799" s="52"/>
      <c r="V799" s="52"/>
      <c r="W799" s="52"/>
      <c r="X799" s="52"/>
      <c r="Y799" s="52"/>
    </row>
    <row r="800">
      <c r="S800" s="52"/>
      <c r="T800" s="52"/>
      <c r="U800" s="52"/>
      <c r="V800" s="52"/>
      <c r="W800" s="52"/>
      <c r="X800" s="52"/>
      <c r="Y800" s="52"/>
    </row>
    <row r="801">
      <c r="S801" s="52"/>
      <c r="T801" s="52"/>
      <c r="U801" s="52"/>
      <c r="V801" s="52"/>
      <c r="W801" s="52"/>
      <c r="X801" s="52"/>
      <c r="Y801" s="52"/>
    </row>
    <row r="802">
      <c r="S802" s="52"/>
      <c r="T802" s="52"/>
      <c r="U802" s="52"/>
      <c r="V802" s="52"/>
      <c r="W802" s="52"/>
      <c r="X802" s="52"/>
      <c r="Y802" s="52"/>
    </row>
    <row r="803">
      <c r="S803" s="52"/>
      <c r="T803" s="52"/>
      <c r="U803" s="52"/>
      <c r="V803" s="52"/>
      <c r="W803" s="52"/>
      <c r="X803" s="52"/>
      <c r="Y803" s="52"/>
    </row>
    <row r="804">
      <c r="S804" s="52"/>
      <c r="T804" s="52"/>
      <c r="U804" s="52"/>
      <c r="V804" s="52"/>
      <c r="W804" s="52"/>
      <c r="X804" s="52"/>
      <c r="Y804" s="52"/>
    </row>
    <row r="805">
      <c r="S805" s="52"/>
      <c r="T805" s="52"/>
      <c r="U805" s="52"/>
      <c r="V805" s="52"/>
      <c r="W805" s="52"/>
      <c r="X805" s="52"/>
      <c r="Y805" s="52"/>
    </row>
    <row r="806">
      <c r="S806" s="52"/>
      <c r="T806" s="52"/>
      <c r="U806" s="52"/>
      <c r="V806" s="52"/>
      <c r="W806" s="52"/>
      <c r="X806" s="52"/>
      <c r="Y806" s="52"/>
    </row>
    <row r="807">
      <c r="S807" s="52"/>
      <c r="T807" s="52"/>
      <c r="U807" s="52"/>
      <c r="V807" s="52"/>
      <c r="W807" s="52"/>
      <c r="X807" s="52"/>
      <c r="Y807" s="52"/>
    </row>
    <row r="808">
      <c r="S808" s="52"/>
      <c r="T808" s="52"/>
      <c r="U808" s="52"/>
      <c r="V808" s="52"/>
      <c r="W808" s="52"/>
      <c r="X808" s="52"/>
      <c r="Y808" s="52"/>
    </row>
    <row r="809">
      <c r="S809" s="52"/>
      <c r="T809" s="52"/>
      <c r="U809" s="52"/>
      <c r="V809" s="52"/>
      <c r="W809" s="52"/>
      <c r="X809" s="52"/>
      <c r="Y809" s="52"/>
    </row>
    <row r="810">
      <c r="S810" s="52"/>
      <c r="T810" s="52"/>
      <c r="U810" s="52"/>
      <c r="V810" s="52"/>
      <c r="W810" s="52"/>
      <c r="X810" s="52"/>
      <c r="Y810" s="52"/>
    </row>
    <row r="811">
      <c r="S811" s="52"/>
      <c r="T811" s="52"/>
      <c r="U811" s="52"/>
      <c r="V811" s="52"/>
      <c r="W811" s="52"/>
      <c r="X811" s="52"/>
      <c r="Y811" s="52"/>
    </row>
    <row r="812">
      <c r="S812" s="52"/>
      <c r="T812" s="52"/>
      <c r="U812" s="52"/>
      <c r="V812" s="52"/>
      <c r="W812" s="52"/>
      <c r="X812" s="52"/>
      <c r="Y812" s="52"/>
    </row>
    <row r="813">
      <c r="S813" s="52"/>
      <c r="T813" s="52"/>
      <c r="U813" s="52"/>
      <c r="V813" s="52"/>
      <c r="W813" s="52"/>
      <c r="X813" s="52"/>
      <c r="Y813" s="52"/>
    </row>
    <row r="814">
      <c r="S814" s="52"/>
      <c r="T814" s="52"/>
      <c r="U814" s="52"/>
      <c r="V814" s="52"/>
      <c r="W814" s="52"/>
      <c r="X814" s="52"/>
      <c r="Y814" s="52"/>
    </row>
    <row r="815">
      <c r="S815" s="52"/>
      <c r="T815" s="52"/>
      <c r="U815" s="52"/>
      <c r="V815" s="52"/>
      <c r="W815" s="52"/>
      <c r="X815" s="52"/>
      <c r="Y815" s="52"/>
    </row>
    <row r="816">
      <c r="S816" s="52"/>
      <c r="T816" s="52"/>
      <c r="U816" s="52"/>
      <c r="V816" s="52"/>
      <c r="W816" s="52"/>
      <c r="X816" s="52"/>
      <c r="Y816" s="52"/>
    </row>
    <row r="817">
      <c r="S817" s="52"/>
      <c r="T817" s="52"/>
      <c r="U817" s="52"/>
      <c r="V817" s="52"/>
      <c r="W817" s="52"/>
      <c r="X817" s="52"/>
      <c r="Y817" s="52"/>
    </row>
    <row r="818">
      <c r="S818" s="52"/>
      <c r="T818" s="52"/>
      <c r="U818" s="52"/>
      <c r="V818" s="52"/>
      <c r="W818" s="52"/>
      <c r="X818" s="52"/>
      <c r="Y818" s="52"/>
    </row>
    <row r="819">
      <c r="S819" s="52"/>
      <c r="T819" s="52"/>
      <c r="U819" s="52"/>
      <c r="V819" s="52"/>
      <c r="W819" s="52"/>
      <c r="X819" s="52"/>
      <c r="Y819" s="52"/>
    </row>
    <row r="820">
      <c r="S820" s="52"/>
      <c r="T820" s="52"/>
      <c r="U820" s="52"/>
      <c r="V820" s="52"/>
      <c r="W820" s="52"/>
      <c r="X820" s="52"/>
      <c r="Y820" s="52"/>
    </row>
    <row r="821">
      <c r="S821" s="52"/>
      <c r="T821" s="52"/>
      <c r="U821" s="52"/>
      <c r="V821" s="52"/>
      <c r="W821" s="52"/>
      <c r="X821" s="52"/>
      <c r="Y821" s="52"/>
    </row>
    <row r="822">
      <c r="S822" s="52"/>
      <c r="T822" s="52"/>
      <c r="U822" s="52"/>
      <c r="V822" s="52"/>
      <c r="W822" s="52"/>
      <c r="X822" s="52"/>
      <c r="Y822" s="52"/>
    </row>
    <row r="823">
      <c r="S823" s="52"/>
      <c r="T823" s="52"/>
      <c r="U823" s="52"/>
      <c r="V823" s="52"/>
      <c r="W823" s="52"/>
      <c r="X823" s="52"/>
      <c r="Y823" s="52"/>
    </row>
    <row r="824">
      <c r="S824" s="52"/>
      <c r="T824" s="52"/>
      <c r="U824" s="52"/>
      <c r="V824" s="52"/>
      <c r="W824" s="52"/>
      <c r="X824" s="52"/>
      <c r="Y824" s="52"/>
    </row>
    <row r="825">
      <c r="S825" s="52"/>
      <c r="T825" s="52"/>
      <c r="U825" s="52"/>
      <c r="V825" s="52"/>
      <c r="W825" s="52"/>
      <c r="X825" s="52"/>
      <c r="Y825" s="52"/>
    </row>
    <row r="826">
      <c r="S826" s="52"/>
      <c r="T826" s="52"/>
      <c r="U826" s="52"/>
      <c r="V826" s="52"/>
      <c r="W826" s="52"/>
      <c r="X826" s="52"/>
      <c r="Y826" s="52"/>
    </row>
    <row r="827">
      <c r="S827" s="52"/>
      <c r="T827" s="52"/>
      <c r="U827" s="52"/>
      <c r="V827" s="52"/>
      <c r="W827" s="52"/>
      <c r="X827" s="52"/>
      <c r="Y827" s="52"/>
    </row>
    <row r="828">
      <c r="S828" s="52"/>
      <c r="T828" s="52"/>
      <c r="U828" s="52"/>
      <c r="V828" s="52"/>
      <c r="W828" s="52"/>
      <c r="X828" s="52"/>
      <c r="Y828" s="52"/>
    </row>
    <row r="829">
      <c r="S829" s="52"/>
      <c r="T829" s="52"/>
      <c r="U829" s="52"/>
      <c r="V829" s="52"/>
      <c r="W829" s="52"/>
      <c r="X829" s="52"/>
      <c r="Y829" s="52"/>
    </row>
    <row r="830">
      <c r="S830" s="52"/>
      <c r="T830" s="52"/>
      <c r="U830" s="52"/>
      <c r="V830" s="52"/>
      <c r="W830" s="52"/>
      <c r="X830" s="52"/>
      <c r="Y830" s="52"/>
    </row>
    <row r="831">
      <c r="S831" s="52"/>
      <c r="T831" s="52"/>
      <c r="U831" s="52"/>
      <c r="V831" s="52"/>
      <c r="W831" s="52"/>
      <c r="X831" s="52"/>
      <c r="Y831" s="52"/>
    </row>
    <row r="832">
      <c r="S832" s="52"/>
      <c r="T832" s="52"/>
      <c r="U832" s="52"/>
      <c r="V832" s="52"/>
      <c r="W832" s="52"/>
      <c r="X832" s="52"/>
      <c r="Y832" s="52"/>
    </row>
    <row r="833">
      <c r="S833" s="52"/>
      <c r="T833" s="52"/>
      <c r="U833" s="52"/>
      <c r="V833" s="52"/>
      <c r="W833" s="52"/>
      <c r="X833" s="52"/>
      <c r="Y833" s="52"/>
    </row>
    <row r="834">
      <c r="S834" s="52"/>
      <c r="T834" s="52"/>
      <c r="U834" s="52"/>
      <c r="V834" s="52"/>
      <c r="W834" s="52"/>
      <c r="X834" s="52"/>
      <c r="Y834" s="52"/>
    </row>
    <row r="835">
      <c r="S835" s="52"/>
      <c r="T835" s="52"/>
      <c r="U835" s="52"/>
      <c r="V835" s="52"/>
      <c r="W835" s="52"/>
      <c r="X835" s="52"/>
      <c r="Y835" s="52"/>
    </row>
    <row r="836">
      <c r="S836" s="52"/>
      <c r="T836" s="52"/>
      <c r="U836" s="52"/>
      <c r="V836" s="52"/>
      <c r="W836" s="52"/>
      <c r="X836" s="52"/>
      <c r="Y836" s="52"/>
    </row>
    <row r="837">
      <c r="S837" s="52"/>
      <c r="T837" s="52"/>
      <c r="U837" s="52"/>
      <c r="V837" s="52"/>
      <c r="W837" s="52"/>
      <c r="X837" s="52"/>
      <c r="Y837" s="52"/>
    </row>
    <row r="838">
      <c r="S838" s="52"/>
      <c r="T838" s="52"/>
      <c r="U838" s="52"/>
      <c r="V838" s="52"/>
      <c r="W838" s="52"/>
      <c r="X838" s="52"/>
      <c r="Y838" s="52"/>
    </row>
    <row r="839">
      <c r="S839" s="52"/>
      <c r="T839" s="52"/>
      <c r="U839" s="52"/>
      <c r="V839" s="52"/>
      <c r="W839" s="52"/>
      <c r="X839" s="52"/>
      <c r="Y839" s="52"/>
    </row>
    <row r="840">
      <c r="S840" s="52"/>
      <c r="T840" s="52"/>
      <c r="U840" s="52"/>
      <c r="V840" s="52"/>
      <c r="W840" s="52"/>
      <c r="X840" s="52"/>
      <c r="Y840" s="52"/>
    </row>
    <row r="841">
      <c r="S841" s="52"/>
      <c r="T841" s="52"/>
      <c r="U841" s="52"/>
      <c r="V841" s="52"/>
      <c r="W841" s="52"/>
      <c r="X841" s="52"/>
      <c r="Y841" s="52"/>
    </row>
    <row r="842">
      <c r="S842" s="52"/>
      <c r="T842" s="52"/>
      <c r="U842" s="52"/>
      <c r="V842" s="52"/>
      <c r="W842" s="52"/>
      <c r="X842" s="52"/>
      <c r="Y842" s="52"/>
    </row>
    <row r="843">
      <c r="S843" s="52"/>
      <c r="T843" s="52"/>
      <c r="U843" s="52"/>
      <c r="V843" s="52"/>
      <c r="W843" s="52"/>
      <c r="X843" s="52"/>
      <c r="Y843" s="52"/>
    </row>
    <row r="844">
      <c r="S844" s="52"/>
      <c r="T844" s="52"/>
      <c r="U844" s="52"/>
      <c r="V844" s="52"/>
      <c r="W844" s="52"/>
      <c r="X844" s="52"/>
      <c r="Y844" s="52"/>
    </row>
    <row r="845">
      <c r="S845" s="52"/>
      <c r="T845" s="52"/>
      <c r="U845" s="52"/>
      <c r="V845" s="52"/>
      <c r="W845" s="52"/>
      <c r="X845" s="52"/>
      <c r="Y845" s="52"/>
    </row>
    <row r="846">
      <c r="S846" s="52"/>
      <c r="T846" s="52"/>
      <c r="U846" s="52"/>
      <c r="V846" s="52"/>
      <c r="W846" s="52"/>
      <c r="X846" s="52"/>
      <c r="Y846" s="52"/>
    </row>
    <row r="847">
      <c r="S847" s="52"/>
      <c r="T847" s="52"/>
      <c r="U847" s="52"/>
      <c r="V847" s="52"/>
      <c r="W847" s="52"/>
      <c r="X847" s="52"/>
      <c r="Y847" s="52"/>
    </row>
    <row r="848">
      <c r="S848" s="52"/>
      <c r="T848" s="52"/>
      <c r="U848" s="52"/>
      <c r="V848" s="52"/>
      <c r="W848" s="52"/>
      <c r="X848" s="52"/>
      <c r="Y848" s="52"/>
    </row>
    <row r="849">
      <c r="S849" s="52"/>
      <c r="T849" s="52"/>
      <c r="U849" s="52"/>
      <c r="V849" s="52"/>
      <c r="W849" s="52"/>
      <c r="X849" s="52"/>
      <c r="Y849" s="52"/>
    </row>
    <row r="850">
      <c r="S850" s="52"/>
      <c r="T850" s="52"/>
      <c r="U850" s="52"/>
      <c r="V850" s="52"/>
      <c r="W850" s="52"/>
      <c r="X850" s="52"/>
      <c r="Y850" s="52"/>
    </row>
    <row r="851">
      <c r="S851" s="52"/>
      <c r="T851" s="52"/>
      <c r="U851" s="52"/>
      <c r="V851" s="52"/>
      <c r="W851" s="52"/>
      <c r="X851" s="52"/>
      <c r="Y851" s="52"/>
    </row>
    <row r="852">
      <c r="S852" s="52"/>
      <c r="T852" s="52"/>
      <c r="U852" s="52"/>
      <c r="V852" s="52"/>
      <c r="W852" s="52"/>
      <c r="X852" s="52"/>
      <c r="Y852" s="52"/>
    </row>
    <row r="853">
      <c r="S853" s="52"/>
      <c r="T853" s="52"/>
      <c r="U853" s="52"/>
      <c r="V853" s="52"/>
      <c r="W853" s="52"/>
      <c r="X853" s="52"/>
      <c r="Y853" s="52"/>
    </row>
    <row r="854">
      <c r="S854" s="52"/>
      <c r="T854" s="52"/>
      <c r="U854" s="52"/>
      <c r="V854" s="52"/>
      <c r="W854" s="52"/>
      <c r="X854" s="52"/>
      <c r="Y854" s="52"/>
    </row>
    <row r="855">
      <c r="S855" s="52"/>
      <c r="T855" s="52"/>
      <c r="U855" s="52"/>
      <c r="V855" s="52"/>
      <c r="W855" s="52"/>
      <c r="X855" s="52"/>
      <c r="Y855" s="52"/>
    </row>
    <row r="856">
      <c r="S856" s="52"/>
      <c r="T856" s="52"/>
      <c r="U856" s="52"/>
      <c r="V856" s="52"/>
      <c r="W856" s="52"/>
      <c r="X856" s="52"/>
      <c r="Y856" s="52"/>
    </row>
    <row r="857">
      <c r="S857" s="52"/>
      <c r="T857" s="52"/>
      <c r="U857" s="52"/>
      <c r="V857" s="52"/>
      <c r="W857" s="52"/>
      <c r="X857" s="52"/>
      <c r="Y857" s="52"/>
    </row>
    <row r="858">
      <c r="S858" s="52"/>
      <c r="T858" s="52"/>
      <c r="U858" s="52"/>
      <c r="V858" s="52"/>
      <c r="W858" s="52"/>
      <c r="X858" s="52"/>
      <c r="Y858" s="52"/>
    </row>
    <row r="859">
      <c r="S859" s="52"/>
      <c r="T859" s="52"/>
      <c r="U859" s="52"/>
      <c r="V859" s="52"/>
      <c r="W859" s="52"/>
      <c r="X859" s="52"/>
      <c r="Y859" s="52"/>
    </row>
    <row r="860">
      <c r="S860" s="52"/>
      <c r="T860" s="52"/>
      <c r="U860" s="52"/>
      <c r="V860" s="52"/>
      <c r="W860" s="52"/>
      <c r="X860" s="52"/>
      <c r="Y860" s="52"/>
    </row>
    <row r="861">
      <c r="S861" s="52"/>
      <c r="T861" s="52"/>
      <c r="U861" s="52"/>
      <c r="V861" s="52"/>
      <c r="W861" s="52"/>
      <c r="X861" s="52"/>
      <c r="Y861" s="52"/>
    </row>
    <row r="862">
      <c r="S862" s="52"/>
      <c r="T862" s="52"/>
      <c r="U862" s="52"/>
      <c r="V862" s="52"/>
      <c r="W862" s="52"/>
      <c r="X862" s="52"/>
      <c r="Y862" s="52"/>
    </row>
    <row r="863">
      <c r="S863" s="52"/>
      <c r="T863" s="52"/>
      <c r="U863" s="52"/>
      <c r="V863" s="52"/>
      <c r="W863" s="52"/>
      <c r="X863" s="52"/>
      <c r="Y863" s="52"/>
    </row>
    <row r="864">
      <c r="S864" s="52"/>
      <c r="T864" s="52"/>
      <c r="U864" s="52"/>
      <c r="V864" s="52"/>
      <c r="W864" s="52"/>
      <c r="X864" s="52"/>
      <c r="Y864" s="52"/>
    </row>
    <row r="865">
      <c r="S865" s="52"/>
      <c r="T865" s="52"/>
      <c r="U865" s="52"/>
      <c r="V865" s="52"/>
      <c r="W865" s="52"/>
      <c r="X865" s="52"/>
      <c r="Y865" s="52"/>
    </row>
    <row r="866">
      <c r="S866" s="52"/>
      <c r="T866" s="52"/>
      <c r="U866" s="52"/>
      <c r="V866" s="52"/>
      <c r="W866" s="52"/>
      <c r="X866" s="52"/>
      <c r="Y866" s="52"/>
    </row>
    <row r="867">
      <c r="S867" s="52"/>
      <c r="T867" s="52"/>
      <c r="U867" s="52"/>
      <c r="V867" s="52"/>
      <c r="W867" s="52"/>
      <c r="X867" s="52"/>
      <c r="Y867" s="52"/>
    </row>
    <row r="868">
      <c r="S868" s="52"/>
      <c r="T868" s="52"/>
      <c r="U868" s="52"/>
      <c r="V868" s="52"/>
      <c r="W868" s="52"/>
      <c r="X868" s="52"/>
      <c r="Y868" s="52"/>
    </row>
    <row r="869">
      <c r="S869" s="52"/>
      <c r="T869" s="52"/>
      <c r="U869" s="52"/>
      <c r="V869" s="52"/>
      <c r="W869" s="52"/>
      <c r="X869" s="52"/>
      <c r="Y869" s="52"/>
    </row>
    <row r="870">
      <c r="S870" s="52"/>
      <c r="T870" s="52"/>
      <c r="U870" s="52"/>
      <c r="V870" s="52"/>
      <c r="W870" s="52"/>
      <c r="X870" s="52"/>
      <c r="Y870" s="52"/>
    </row>
    <row r="871">
      <c r="S871" s="52"/>
      <c r="T871" s="52"/>
      <c r="U871" s="52"/>
      <c r="V871" s="52"/>
      <c r="W871" s="52"/>
      <c r="X871" s="52"/>
      <c r="Y871" s="52"/>
    </row>
    <row r="872">
      <c r="S872" s="52"/>
      <c r="T872" s="52"/>
      <c r="U872" s="52"/>
      <c r="V872" s="52"/>
      <c r="W872" s="52"/>
      <c r="X872" s="52"/>
      <c r="Y872" s="52"/>
    </row>
    <row r="873">
      <c r="S873" s="52"/>
      <c r="T873" s="52"/>
      <c r="U873" s="52"/>
      <c r="V873" s="52"/>
      <c r="W873" s="52"/>
      <c r="X873" s="52"/>
      <c r="Y873" s="52"/>
    </row>
    <row r="874">
      <c r="S874" s="52"/>
      <c r="T874" s="52"/>
      <c r="U874" s="52"/>
      <c r="V874" s="52"/>
      <c r="W874" s="52"/>
      <c r="X874" s="52"/>
      <c r="Y874" s="52"/>
    </row>
    <row r="875">
      <c r="S875" s="52"/>
      <c r="T875" s="52"/>
      <c r="U875" s="52"/>
      <c r="V875" s="52"/>
      <c r="W875" s="52"/>
      <c r="X875" s="52"/>
      <c r="Y875" s="52"/>
    </row>
    <row r="876">
      <c r="S876" s="52"/>
      <c r="T876" s="52"/>
      <c r="U876" s="52"/>
      <c r="V876" s="52"/>
      <c r="W876" s="52"/>
      <c r="X876" s="52"/>
      <c r="Y876" s="52"/>
    </row>
    <row r="877">
      <c r="S877" s="52"/>
      <c r="T877" s="52"/>
      <c r="U877" s="52"/>
      <c r="V877" s="52"/>
      <c r="W877" s="52"/>
      <c r="X877" s="52"/>
      <c r="Y877" s="52"/>
    </row>
    <row r="878">
      <c r="S878" s="52"/>
      <c r="T878" s="52"/>
      <c r="U878" s="52"/>
      <c r="V878" s="52"/>
      <c r="W878" s="52"/>
      <c r="X878" s="52"/>
      <c r="Y878" s="52"/>
    </row>
    <row r="879">
      <c r="S879" s="52"/>
      <c r="T879" s="52"/>
      <c r="U879" s="52"/>
      <c r="V879" s="52"/>
      <c r="W879" s="52"/>
      <c r="X879" s="52"/>
      <c r="Y879" s="52"/>
    </row>
    <row r="880">
      <c r="S880" s="52"/>
      <c r="T880" s="52"/>
      <c r="U880" s="52"/>
      <c r="V880" s="52"/>
      <c r="W880" s="52"/>
      <c r="X880" s="52"/>
      <c r="Y880" s="52"/>
    </row>
    <row r="881">
      <c r="S881" s="52"/>
      <c r="T881" s="52"/>
      <c r="U881" s="52"/>
      <c r="V881" s="52"/>
      <c r="W881" s="52"/>
      <c r="X881" s="52"/>
      <c r="Y881" s="52"/>
    </row>
    <row r="882">
      <c r="S882" s="52"/>
      <c r="T882" s="52"/>
      <c r="U882" s="52"/>
      <c r="V882" s="52"/>
      <c r="W882" s="52"/>
      <c r="X882" s="52"/>
      <c r="Y882" s="52"/>
    </row>
    <row r="883">
      <c r="S883" s="52"/>
      <c r="T883" s="52"/>
      <c r="U883" s="52"/>
      <c r="V883" s="52"/>
      <c r="W883" s="52"/>
      <c r="X883" s="52"/>
      <c r="Y883" s="52"/>
    </row>
    <row r="884">
      <c r="S884" s="52"/>
      <c r="T884" s="52"/>
      <c r="U884" s="52"/>
      <c r="V884" s="52"/>
      <c r="W884" s="52"/>
      <c r="X884" s="52"/>
      <c r="Y884" s="52"/>
    </row>
    <row r="885">
      <c r="S885" s="52"/>
      <c r="T885" s="52"/>
      <c r="U885" s="52"/>
      <c r="V885" s="52"/>
      <c r="W885" s="52"/>
      <c r="X885" s="52"/>
      <c r="Y885" s="52"/>
    </row>
    <row r="886">
      <c r="S886" s="52"/>
      <c r="T886" s="52"/>
      <c r="U886" s="52"/>
      <c r="V886" s="52"/>
      <c r="W886" s="52"/>
      <c r="X886" s="52"/>
      <c r="Y886" s="52"/>
    </row>
    <row r="887">
      <c r="S887" s="52"/>
      <c r="T887" s="52"/>
      <c r="U887" s="52"/>
      <c r="V887" s="52"/>
      <c r="W887" s="52"/>
      <c r="X887" s="52"/>
      <c r="Y887" s="52"/>
    </row>
    <row r="888">
      <c r="S888" s="52"/>
      <c r="T888" s="52"/>
      <c r="U888" s="52"/>
      <c r="V888" s="52"/>
      <c r="W888" s="52"/>
      <c r="X888" s="52"/>
      <c r="Y888" s="52"/>
    </row>
    <row r="889">
      <c r="S889" s="52"/>
      <c r="T889" s="52"/>
      <c r="U889" s="52"/>
      <c r="V889" s="52"/>
      <c r="W889" s="52"/>
      <c r="X889" s="52"/>
      <c r="Y889" s="52"/>
    </row>
    <row r="890">
      <c r="S890" s="52"/>
      <c r="T890" s="52"/>
      <c r="U890" s="52"/>
      <c r="V890" s="52"/>
      <c r="W890" s="52"/>
      <c r="X890" s="52"/>
      <c r="Y890" s="52"/>
    </row>
    <row r="891">
      <c r="S891" s="52"/>
      <c r="T891" s="52"/>
      <c r="U891" s="52"/>
      <c r="V891" s="52"/>
      <c r="W891" s="52"/>
      <c r="X891" s="52"/>
      <c r="Y891" s="52"/>
    </row>
    <row r="892">
      <c r="S892" s="52"/>
      <c r="T892" s="52"/>
      <c r="U892" s="52"/>
      <c r="V892" s="52"/>
      <c r="W892" s="52"/>
      <c r="X892" s="52"/>
      <c r="Y892" s="52"/>
    </row>
    <row r="893">
      <c r="S893" s="52"/>
      <c r="T893" s="52"/>
      <c r="U893" s="52"/>
      <c r="V893" s="52"/>
      <c r="W893" s="52"/>
      <c r="X893" s="52"/>
      <c r="Y893" s="52"/>
    </row>
    <row r="894">
      <c r="S894" s="52"/>
      <c r="T894" s="52"/>
      <c r="U894" s="52"/>
      <c r="V894" s="52"/>
      <c r="W894" s="52"/>
      <c r="X894" s="52"/>
      <c r="Y894" s="52"/>
    </row>
    <row r="895">
      <c r="S895" s="52"/>
      <c r="T895" s="52"/>
      <c r="U895" s="52"/>
      <c r="V895" s="52"/>
      <c r="W895" s="52"/>
      <c r="X895" s="52"/>
      <c r="Y895" s="52"/>
    </row>
    <row r="896">
      <c r="S896" s="52"/>
      <c r="T896" s="52"/>
      <c r="U896" s="52"/>
      <c r="V896" s="52"/>
      <c r="W896" s="52"/>
      <c r="X896" s="52"/>
      <c r="Y896" s="52"/>
    </row>
    <row r="897">
      <c r="S897" s="52"/>
      <c r="T897" s="52"/>
      <c r="U897" s="52"/>
      <c r="V897" s="52"/>
      <c r="W897" s="52"/>
      <c r="X897" s="52"/>
      <c r="Y897" s="52"/>
    </row>
    <row r="898">
      <c r="S898" s="52"/>
      <c r="T898" s="52"/>
      <c r="U898" s="52"/>
      <c r="V898" s="52"/>
      <c r="W898" s="52"/>
      <c r="X898" s="52"/>
      <c r="Y898" s="52"/>
    </row>
    <row r="899">
      <c r="S899" s="52"/>
      <c r="T899" s="52"/>
      <c r="U899" s="52"/>
      <c r="V899" s="52"/>
      <c r="W899" s="52"/>
      <c r="X899" s="52"/>
      <c r="Y899" s="52"/>
    </row>
    <row r="900">
      <c r="S900" s="52"/>
      <c r="T900" s="52"/>
      <c r="U900" s="52"/>
      <c r="V900" s="52"/>
      <c r="W900" s="52"/>
      <c r="X900" s="52"/>
      <c r="Y900" s="52"/>
    </row>
    <row r="901">
      <c r="S901" s="52"/>
      <c r="T901" s="52"/>
      <c r="U901" s="52"/>
      <c r="V901" s="52"/>
      <c r="W901" s="52"/>
      <c r="X901" s="52"/>
      <c r="Y901" s="52"/>
    </row>
    <row r="902">
      <c r="S902" s="52"/>
      <c r="T902" s="52"/>
      <c r="U902" s="52"/>
      <c r="V902" s="52"/>
      <c r="W902" s="52"/>
      <c r="X902" s="52"/>
      <c r="Y902" s="52"/>
    </row>
    <row r="903">
      <c r="S903" s="52"/>
      <c r="T903" s="52"/>
      <c r="U903" s="52"/>
      <c r="V903" s="52"/>
      <c r="W903" s="52"/>
      <c r="X903" s="52"/>
      <c r="Y903" s="52"/>
    </row>
    <row r="904">
      <c r="S904" s="52"/>
      <c r="T904" s="52"/>
      <c r="U904" s="52"/>
      <c r="V904" s="52"/>
      <c r="W904" s="52"/>
      <c r="X904" s="52"/>
      <c r="Y904" s="52"/>
    </row>
    <row r="905">
      <c r="S905" s="52"/>
      <c r="T905" s="52"/>
      <c r="U905" s="52"/>
      <c r="V905" s="52"/>
      <c r="W905" s="52"/>
      <c r="X905" s="52"/>
      <c r="Y905" s="52"/>
    </row>
    <row r="906">
      <c r="S906" s="52"/>
      <c r="T906" s="52"/>
      <c r="U906" s="52"/>
      <c r="V906" s="52"/>
      <c r="W906" s="52"/>
      <c r="X906" s="52"/>
      <c r="Y906" s="52"/>
    </row>
    <row r="907">
      <c r="S907" s="52"/>
      <c r="T907" s="52"/>
      <c r="U907" s="52"/>
      <c r="V907" s="52"/>
      <c r="W907" s="52"/>
      <c r="X907" s="52"/>
      <c r="Y907" s="52"/>
    </row>
    <row r="908">
      <c r="S908" s="52"/>
      <c r="T908" s="52"/>
      <c r="U908" s="52"/>
      <c r="V908" s="52"/>
      <c r="W908" s="52"/>
      <c r="X908" s="52"/>
      <c r="Y908" s="52"/>
    </row>
    <row r="909">
      <c r="S909" s="52"/>
      <c r="T909" s="52"/>
      <c r="U909" s="52"/>
      <c r="V909" s="52"/>
      <c r="W909" s="52"/>
      <c r="X909" s="52"/>
      <c r="Y909" s="52"/>
    </row>
    <row r="910">
      <c r="S910" s="52"/>
      <c r="T910" s="52"/>
      <c r="U910" s="52"/>
      <c r="V910" s="52"/>
      <c r="W910" s="52"/>
      <c r="X910" s="52"/>
      <c r="Y910" s="52"/>
    </row>
    <row r="911">
      <c r="S911" s="52"/>
      <c r="T911" s="52"/>
      <c r="U911" s="52"/>
      <c r="V911" s="52"/>
      <c r="W911" s="52"/>
      <c r="X911" s="52"/>
      <c r="Y911" s="52"/>
    </row>
    <row r="912">
      <c r="S912" s="52"/>
      <c r="T912" s="52"/>
      <c r="U912" s="52"/>
      <c r="V912" s="52"/>
      <c r="W912" s="52"/>
      <c r="X912" s="52"/>
      <c r="Y912" s="52"/>
    </row>
    <row r="913">
      <c r="S913" s="52"/>
      <c r="T913" s="52"/>
      <c r="U913" s="52"/>
      <c r="V913" s="52"/>
      <c r="W913" s="52"/>
      <c r="X913" s="52"/>
      <c r="Y913" s="52"/>
    </row>
    <row r="914">
      <c r="S914" s="52"/>
      <c r="T914" s="52"/>
      <c r="U914" s="52"/>
      <c r="V914" s="52"/>
      <c r="W914" s="52"/>
      <c r="X914" s="52"/>
      <c r="Y914" s="52"/>
    </row>
    <row r="915">
      <c r="S915" s="52"/>
      <c r="T915" s="52"/>
      <c r="U915" s="52"/>
      <c r="V915" s="52"/>
      <c r="W915" s="52"/>
      <c r="X915" s="52"/>
      <c r="Y915" s="52"/>
    </row>
    <row r="916">
      <c r="S916" s="52"/>
      <c r="T916" s="52"/>
      <c r="U916" s="52"/>
      <c r="V916" s="52"/>
      <c r="W916" s="52"/>
      <c r="X916" s="52"/>
      <c r="Y916" s="52"/>
    </row>
    <row r="917">
      <c r="S917" s="52"/>
      <c r="T917" s="52"/>
      <c r="U917" s="52"/>
      <c r="V917" s="52"/>
      <c r="W917" s="52"/>
      <c r="X917" s="52"/>
      <c r="Y917" s="52"/>
    </row>
    <row r="918">
      <c r="S918" s="52"/>
      <c r="T918" s="52"/>
      <c r="U918" s="52"/>
      <c r="V918" s="52"/>
      <c r="W918" s="52"/>
      <c r="X918" s="52"/>
      <c r="Y918" s="52"/>
    </row>
    <row r="919">
      <c r="S919" s="52"/>
      <c r="T919" s="52"/>
      <c r="U919" s="52"/>
      <c r="V919" s="52"/>
      <c r="W919" s="52"/>
      <c r="X919" s="52"/>
      <c r="Y919" s="52"/>
    </row>
    <row r="920">
      <c r="S920" s="52"/>
      <c r="T920" s="52"/>
      <c r="U920" s="52"/>
      <c r="V920" s="52"/>
      <c r="W920" s="52"/>
      <c r="X920" s="52"/>
      <c r="Y920" s="52"/>
    </row>
    <row r="921">
      <c r="S921" s="52"/>
      <c r="T921" s="52"/>
      <c r="U921" s="52"/>
      <c r="V921" s="52"/>
      <c r="W921" s="52"/>
      <c r="X921" s="52"/>
      <c r="Y921" s="52"/>
    </row>
    <row r="922">
      <c r="S922" s="52"/>
      <c r="T922" s="52"/>
      <c r="U922" s="52"/>
      <c r="V922" s="52"/>
      <c r="W922" s="52"/>
      <c r="X922" s="52"/>
      <c r="Y922" s="52"/>
    </row>
    <row r="923">
      <c r="S923" s="52"/>
      <c r="T923" s="52"/>
      <c r="U923" s="52"/>
      <c r="V923" s="52"/>
      <c r="W923" s="52"/>
      <c r="X923" s="52"/>
      <c r="Y923" s="52"/>
    </row>
    <row r="924">
      <c r="S924" s="52"/>
      <c r="T924" s="52"/>
      <c r="U924" s="52"/>
      <c r="V924" s="52"/>
      <c r="W924" s="52"/>
      <c r="X924" s="52"/>
      <c r="Y924" s="52"/>
    </row>
    <row r="925">
      <c r="S925" s="52"/>
      <c r="T925" s="52"/>
      <c r="U925" s="52"/>
      <c r="V925" s="52"/>
      <c r="W925" s="52"/>
      <c r="X925" s="52"/>
      <c r="Y925" s="52"/>
    </row>
    <row r="926">
      <c r="S926" s="52"/>
      <c r="T926" s="52"/>
      <c r="U926" s="52"/>
      <c r="V926" s="52"/>
      <c r="W926" s="52"/>
      <c r="X926" s="52"/>
      <c r="Y926" s="52"/>
    </row>
    <row r="927">
      <c r="S927" s="52"/>
      <c r="T927" s="52"/>
      <c r="U927" s="52"/>
      <c r="V927" s="52"/>
      <c r="W927" s="52"/>
      <c r="X927" s="52"/>
      <c r="Y927" s="52"/>
    </row>
    <row r="928">
      <c r="S928" s="52"/>
      <c r="T928" s="52"/>
      <c r="U928" s="52"/>
      <c r="V928" s="52"/>
      <c r="W928" s="52"/>
      <c r="X928" s="52"/>
      <c r="Y928" s="52"/>
    </row>
    <row r="929">
      <c r="S929" s="52"/>
      <c r="T929" s="52"/>
      <c r="U929" s="52"/>
      <c r="V929" s="52"/>
      <c r="W929" s="52"/>
      <c r="X929" s="52"/>
      <c r="Y929" s="52"/>
    </row>
    <row r="930">
      <c r="S930" s="52"/>
      <c r="T930" s="52"/>
      <c r="U930" s="52"/>
      <c r="V930" s="52"/>
      <c r="W930" s="52"/>
      <c r="X930" s="52"/>
      <c r="Y930" s="52"/>
    </row>
    <row r="931">
      <c r="S931" s="52"/>
      <c r="T931" s="52"/>
      <c r="U931" s="52"/>
      <c r="V931" s="52"/>
      <c r="W931" s="52"/>
      <c r="X931" s="52"/>
      <c r="Y931" s="52"/>
    </row>
    <row r="932">
      <c r="S932" s="52"/>
      <c r="T932" s="52"/>
      <c r="U932" s="52"/>
      <c r="V932" s="52"/>
      <c r="W932" s="52"/>
      <c r="X932" s="52"/>
      <c r="Y932" s="52"/>
    </row>
    <row r="933">
      <c r="S933" s="52"/>
      <c r="T933" s="52"/>
      <c r="U933" s="52"/>
      <c r="V933" s="52"/>
      <c r="W933" s="52"/>
      <c r="X933" s="52"/>
      <c r="Y933" s="52"/>
    </row>
    <row r="934">
      <c r="S934" s="52"/>
      <c r="T934" s="52"/>
      <c r="U934" s="52"/>
      <c r="V934" s="52"/>
      <c r="W934" s="52"/>
      <c r="X934" s="52"/>
      <c r="Y934" s="52"/>
    </row>
    <row r="935">
      <c r="S935" s="52"/>
      <c r="T935" s="52"/>
      <c r="U935" s="52"/>
      <c r="V935" s="52"/>
      <c r="W935" s="52"/>
      <c r="X935" s="52"/>
      <c r="Y935" s="52"/>
    </row>
    <row r="936">
      <c r="S936" s="52"/>
      <c r="T936" s="52"/>
      <c r="U936" s="52"/>
      <c r="V936" s="52"/>
      <c r="W936" s="52"/>
      <c r="X936" s="52"/>
      <c r="Y936" s="52"/>
    </row>
    <row r="937">
      <c r="S937" s="52"/>
      <c r="T937" s="52"/>
      <c r="U937" s="52"/>
      <c r="V937" s="52"/>
      <c r="W937" s="52"/>
      <c r="X937" s="52"/>
      <c r="Y937" s="52"/>
    </row>
    <row r="938">
      <c r="S938" s="52"/>
      <c r="T938" s="52"/>
      <c r="U938" s="52"/>
      <c r="V938" s="52"/>
      <c r="W938" s="52"/>
      <c r="X938" s="52"/>
      <c r="Y938" s="52"/>
    </row>
    <row r="939">
      <c r="S939" s="52"/>
      <c r="T939" s="52"/>
      <c r="U939" s="52"/>
      <c r="V939" s="52"/>
      <c r="W939" s="52"/>
      <c r="X939" s="52"/>
      <c r="Y939" s="52"/>
    </row>
    <row r="940">
      <c r="S940" s="52"/>
      <c r="T940" s="52"/>
      <c r="U940" s="52"/>
      <c r="V940" s="52"/>
      <c r="W940" s="52"/>
      <c r="X940" s="52"/>
      <c r="Y940" s="52"/>
    </row>
    <row r="941">
      <c r="S941" s="52"/>
      <c r="T941" s="52"/>
      <c r="U941" s="52"/>
      <c r="V941" s="52"/>
      <c r="W941" s="52"/>
      <c r="X941" s="52"/>
      <c r="Y941" s="52"/>
    </row>
    <row r="942">
      <c r="S942" s="52"/>
      <c r="T942" s="52"/>
      <c r="U942" s="52"/>
      <c r="V942" s="52"/>
      <c r="W942" s="52"/>
      <c r="X942" s="52"/>
      <c r="Y942" s="52"/>
    </row>
    <row r="943">
      <c r="S943" s="52"/>
      <c r="T943" s="52"/>
      <c r="U943" s="52"/>
      <c r="V943" s="52"/>
      <c r="W943" s="52"/>
      <c r="X943" s="52"/>
      <c r="Y943" s="52"/>
    </row>
    <row r="944">
      <c r="S944" s="52"/>
      <c r="T944" s="52"/>
      <c r="U944" s="52"/>
      <c r="V944" s="52"/>
      <c r="W944" s="52"/>
      <c r="X944" s="52"/>
      <c r="Y944" s="52"/>
    </row>
    <row r="945">
      <c r="S945" s="52"/>
      <c r="T945" s="52"/>
      <c r="U945" s="52"/>
      <c r="V945" s="52"/>
      <c r="W945" s="52"/>
      <c r="X945" s="52"/>
      <c r="Y945" s="52"/>
    </row>
    <row r="946">
      <c r="S946" s="52"/>
      <c r="T946" s="52"/>
      <c r="U946" s="52"/>
      <c r="V946" s="52"/>
      <c r="W946" s="52"/>
      <c r="X946" s="52"/>
      <c r="Y946" s="52"/>
    </row>
    <row r="947">
      <c r="S947" s="52"/>
      <c r="T947" s="52"/>
      <c r="U947" s="52"/>
      <c r="V947" s="52"/>
      <c r="W947" s="52"/>
      <c r="X947" s="52"/>
      <c r="Y947" s="52"/>
    </row>
    <row r="948">
      <c r="S948" s="52"/>
      <c r="T948" s="52"/>
      <c r="U948" s="52"/>
      <c r="V948" s="52"/>
      <c r="W948" s="52"/>
      <c r="X948" s="52"/>
      <c r="Y948" s="52"/>
    </row>
    <row r="949">
      <c r="S949" s="52"/>
      <c r="T949" s="52"/>
      <c r="U949" s="52"/>
      <c r="V949" s="52"/>
      <c r="W949" s="52"/>
      <c r="X949" s="52"/>
      <c r="Y949" s="52"/>
    </row>
    <row r="950">
      <c r="S950" s="52"/>
      <c r="T950" s="52"/>
      <c r="U950" s="52"/>
      <c r="V950" s="52"/>
      <c r="W950" s="52"/>
      <c r="X950" s="52"/>
      <c r="Y950" s="52"/>
    </row>
    <row r="951">
      <c r="S951" s="52"/>
      <c r="T951" s="52"/>
      <c r="U951" s="52"/>
      <c r="V951" s="52"/>
      <c r="W951" s="52"/>
      <c r="X951" s="52"/>
      <c r="Y951" s="52"/>
    </row>
    <row r="952">
      <c r="S952" s="52"/>
      <c r="T952" s="52"/>
      <c r="U952" s="52"/>
      <c r="V952" s="52"/>
      <c r="W952" s="52"/>
      <c r="X952" s="52"/>
      <c r="Y952" s="52"/>
    </row>
    <row r="953">
      <c r="S953" s="52"/>
      <c r="T953" s="52"/>
      <c r="U953" s="52"/>
      <c r="V953" s="52"/>
      <c r="W953" s="52"/>
      <c r="X953" s="52"/>
      <c r="Y953" s="52"/>
    </row>
    <row r="954">
      <c r="S954" s="52"/>
      <c r="T954" s="52"/>
      <c r="U954" s="52"/>
      <c r="V954" s="52"/>
      <c r="W954" s="52"/>
      <c r="X954" s="52"/>
      <c r="Y954" s="52"/>
    </row>
    <row r="955">
      <c r="S955" s="52"/>
      <c r="T955" s="52"/>
      <c r="U955" s="52"/>
      <c r="V955" s="52"/>
      <c r="W955" s="52"/>
      <c r="X955" s="52"/>
      <c r="Y955" s="52"/>
    </row>
    <row r="956">
      <c r="S956" s="52"/>
      <c r="T956" s="52"/>
      <c r="U956" s="52"/>
      <c r="V956" s="52"/>
      <c r="W956" s="52"/>
      <c r="X956" s="52"/>
      <c r="Y956" s="52"/>
    </row>
    <row r="957">
      <c r="S957" s="52"/>
      <c r="T957" s="52"/>
      <c r="U957" s="52"/>
      <c r="V957" s="52"/>
      <c r="W957" s="52"/>
      <c r="X957" s="52"/>
      <c r="Y957" s="52"/>
    </row>
    <row r="958">
      <c r="S958" s="52"/>
      <c r="T958" s="52"/>
      <c r="U958" s="52"/>
      <c r="V958" s="52"/>
      <c r="W958" s="52"/>
      <c r="X958" s="52"/>
      <c r="Y958" s="52"/>
    </row>
    <row r="959">
      <c r="S959" s="52"/>
      <c r="T959" s="52"/>
      <c r="U959" s="52"/>
      <c r="V959" s="52"/>
      <c r="W959" s="52"/>
      <c r="X959" s="52"/>
      <c r="Y959" s="52"/>
    </row>
    <row r="960">
      <c r="S960" s="52"/>
      <c r="T960" s="52"/>
      <c r="U960" s="52"/>
      <c r="V960" s="52"/>
      <c r="W960" s="52"/>
      <c r="X960" s="52"/>
      <c r="Y960" s="52"/>
    </row>
    <row r="961">
      <c r="S961" s="52"/>
      <c r="T961" s="52"/>
      <c r="U961" s="52"/>
      <c r="V961" s="52"/>
      <c r="W961" s="52"/>
      <c r="X961" s="52"/>
      <c r="Y961" s="52"/>
    </row>
    <row r="962">
      <c r="S962" s="52"/>
      <c r="T962" s="52"/>
      <c r="U962" s="52"/>
      <c r="V962" s="52"/>
      <c r="W962" s="52"/>
      <c r="X962" s="52"/>
      <c r="Y962" s="52"/>
    </row>
    <row r="963">
      <c r="S963" s="52"/>
      <c r="T963" s="52"/>
      <c r="U963" s="52"/>
      <c r="V963" s="52"/>
      <c r="W963" s="52"/>
      <c r="X963" s="52"/>
      <c r="Y963" s="52"/>
    </row>
    <row r="964">
      <c r="S964" s="52"/>
      <c r="T964" s="52"/>
      <c r="U964" s="52"/>
      <c r="V964" s="52"/>
      <c r="W964" s="52"/>
      <c r="X964" s="52"/>
      <c r="Y964" s="52"/>
    </row>
    <row r="965">
      <c r="S965" s="52"/>
      <c r="T965" s="52"/>
      <c r="U965" s="52"/>
      <c r="V965" s="52"/>
      <c r="W965" s="52"/>
      <c r="X965" s="52"/>
      <c r="Y965" s="52"/>
    </row>
    <row r="966">
      <c r="S966" s="52"/>
      <c r="T966" s="52"/>
      <c r="U966" s="52"/>
      <c r="V966" s="52"/>
      <c r="W966" s="52"/>
      <c r="X966" s="52"/>
      <c r="Y966" s="52"/>
    </row>
    <row r="967">
      <c r="S967" s="52"/>
      <c r="T967" s="52"/>
      <c r="U967" s="52"/>
      <c r="V967" s="52"/>
      <c r="W967" s="52"/>
      <c r="X967" s="52"/>
      <c r="Y967" s="52"/>
    </row>
    <row r="968">
      <c r="S968" s="52"/>
      <c r="T968" s="52"/>
      <c r="U968" s="52"/>
      <c r="V968" s="52"/>
      <c r="W968" s="52"/>
      <c r="X968" s="52"/>
      <c r="Y968" s="52"/>
    </row>
    <row r="969">
      <c r="S969" s="52"/>
      <c r="T969" s="52"/>
      <c r="U969" s="52"/>
      <c r="V969" s="52"/>
      <c r="W969" s="52"/>
      <c r="X969" s="52"/>
      <c r="Y969" s="52"/>
    </row>
    <row r="970">
      <c r="S970" s="52"/>
      <c r="T970" s="52"/>
      <c r="U970" s="52"/>
      <c r="V970" s="52"/>
      <c r="W970" s="52"/>
      <c r="X970" s="52"/>
      <c r="Y970" s="52"/>
    </row>
    <row r="971">
      <c r="S971" s="52"/>
      <c r="T971" s="52"/>
      <c r="U971" s="52"/>
      <c r="V971" s="52"/>
      <c r="W971" s="52"/>
      <c r="X971" s="52"/>
      <c r="Y971" s="52"/>
    </row>
    <row r="972">
      <c r="S972" s="52"/>
      <c r="T972" s="52"/>
      <c r="U972" s="52"/>
      <c r="V972" s="52"/>
      <c r="W972" s="52"/>
      <c r="X972" s="52"/>
      <c r="Y972" s="52"/>
    </row>
    <row r="973">
      <c r="S973" s="52"/>
      <c r="T973" s="52"/>
      <c r="U973" s="52"/>
      <c r="V973" s="52"/>
      <c r="W973" s="52"/>
      <c r="X973" s="52"/>
      <c r="Y973" s="52"/>
    </row>
    <row r="974">
      <c r="S974" s="52"/>
      <c r="T974" s="52"/>
      <c r="U974" s="52"/>
      <c r="V974" s="52"/>
      <c r="W974" s="52"/>
      <c r="X974" s="52"/>
      <c r="Y974" s="52"/>
    </row>
    <row r="975">
      <c r="S975" s="52"/>
      <c r="T975" s="52"/>
      <c r="U975" s="52"/>
      <c r="V975" s="52"/>
      <c r="W975" s="52"/>
      <c r="X975" s="52"/>
      <c r="Y975" s="52"/>
    </row>
    <row r="976">
      <c r="S976" s="52"/>
      <c r="T976" s="52"/>
      <c r="U976" s="52"/>
      <c r="V976" s="52"/>
      <c r="W976" s="52"/>
      <c r="X976" s="52"/>
      <c r="Y976" s="52"/>
    </row>
    <row r="977">
      <c r="S977" s="52"/>
      <c r="T977" s="52"/>
      <c r="U977" s="52"/>
      <c r="V977" s="52"/>
      <c r="W977" s="52"/>
      <c r="X977" s="52"/>
      <c r="Y977" s="52"/>
    </row>
    <row r="978">
      <c r="S978" s="52"/>
      <c r="T978" s="52"/>
      <c r="U978" s="52"/>
      <c r="V978" s="52"/>
      <c r="W978" s="52"/>
      <c r="X978" s="52"/>
      <c r="Y978" s="52"/>
    </row>
    <row r="979">
      <c r="S979" s="52"/>
      <c r="T979" s="52"/>
      <c r="U979" s="52"/>
      <c r="V979" s="52"/>
      <c r="W979" s="52"/>
      <c r="X979" s="52"/>
      <c r="Y979" s="52"/>
    </row>
    <row r="980">
      <c r="S980" s="52"/>
      <c r="T980" s="52"/>
      <c r="U980" s="52"/>
      <c r="V980" s="52"/>
      <c r="W980" s="52"/>
      <c r="X980" s="52"/>
      <c r="Y980" s="52"/>
    </row>
    <row r="981">
      <c r="S981" s="52"/>
      <c r="T981" s="52"/>
      <c r="U981" s="52"/>
      <c r="V981" s="52"/>
      <c r="W981" s="52"/>
      <c r="X981" s="52"/>
      <c r="Y981" s="52"/>
    </row>
    <row r="982">
      <c r="S982" s="52"/>
      <c r="T982" s="52"/>
      <c r="U982" s="52"/>
      <c r="V982" s="52"/>
      <c r="W982" s="52"/>
      <c r="X982" s="52"/>
      <c r="Y982" s="52"/>
    </row>
    <row r="983">
      <c r="S983" s="52"/>
      <c r="T983" s="52"/>
      <c r="U983" s="52"/>
      <c r="V983" s="52"/>
      <c r="W983" s="52"/>
      <c r="X983" s="52"/>
      <c r="Y983" s="52"/>
    </row>
    <row r="984">
      <c r="S984" s="52"/>
      <c r="T984" s="52"/>
      <c r="U984" s="52"/>
      <c r="V984" s="52"/>
      <c r="W984" s="52"/>
      <c r="X984" s="52"/>
      <c r="Y984" s="52"/>
    </row>
    <row r="985">
      <c r="S985" s="52"/>
      <c r="T985" s="52"/>
      <c r="U985" s="52"/>
      <c r="V985" s="52"/>
      <c r="W985" s="52"/>
      <c r="X985" s="52"/>
      <c r="Y985" s="52"/>
    </row>
    <row r="986">
      <c r="S986" s="52"/>
      <c r="T986" s="52"/>
      <c r="U986" s="52"/>
      <c r="V986" s="52"/>
      <c r="W986" s="52"/>
      <c r="X986" s="52"/>
      <c r="Y986" s="52"/>
    </row>
    <row r="987">
      <c r="S987" s="52"/>
      <c r="T987" s="52"/>
      <c r="U987" s="52"/>
      <c r="V987" s="52"/>
      <c r="W987" s="52"/>
      <c r="X987" s="52"/>
      <c r="Y987" s="52"/>
    </row>
    <row r="988">
      <c r="S988" s="52"/>
      <c r="T988" s="52"/>
      <c r="U988" s="52"/>
      <c r="V988" s="52"/>
      <c r="W988" s="52"/>
      <c r="X988" s="52"/>
      <c r="Y988" s="52"/>
    </row>
    <row r="989">
      <c r="S989" s="52"/>
      <c r="T989" s="52"/>
      <c r="U989" s="52"/>
      <c r="V989" s="52"/>
      <c r="W989" s="52"/>
      <c r="X989" s="52"/>
      <c r="Y989" s="52"/>
    </row>
    <row r="990">
      <c r="S990" s="52"/>
      <c r="T990" s="52"/>
      <c r="U990" s="52"/>
      <c r="V990" s="52"/>
      <c r="W990" s="52"/>
      <c r="X990" s="52"/>
      <c r="Y990" s="52"/>
    </row>
    <row r="991">
      <c r="S991" s="52"/>
      <c r="T991" s="52"/>
      <c r="U991" s="52"/>
      <c r="V991" s="52"/>
      <c r="W991" s="52"/>
      <c r="X991" s="52"/>
      <c r="Y991" s="52"/>
    </row>
    <row r="992">
      <c r="S992" s="52"/>
      <c r="T992" s="52"/>
      <c r="U992" s="52"/>
      <c r="V992" s="52"/>
      <c r="W992" s="52"/>
      <c r="X992" s="52"/>
      <c r="Y992" s="52"/>
    </row>
    <row r="993">
      <c r="S993" s="52"/>
      <c r="T993" s="52"/>
      <c r="U993" s="52"/>
      <c r="V993" s="52"/>
      <c r="W993" s="52"/>
      <c r="X993" s="52"/>
      <c r="Y993" s="52"/>
    </row>
    <row r="994">
      <c r="S994" s="52"/>
      <c r="T994" s="52"/>
      <c r="U994" s="52"/>
      <c r="V994" s="52"/>
      <c r="W994" s="52"/>
      <c r="X994" s="52"/>
      <c r="Y994" s="52"/>
    </row>
    <row r="995">
      <c r="S995" s="52"/>
      <c r="T995" s="52"/>
      <c r="U995" s="52"/>
      <c r="V995" s="52"/>
      <c r="W995" s="52"/>
      <c r="X995" s="52"/>
      <c r="Y995" s="52"/>
    </row>
    <row r="996">
      <c r="S996" s="52"/>
      <c r="T996" s="52"/>
      <c r="U996" s="52"/>
      <c r="V996" s="52"/>
      <c r="W996" s="52"/>
      <c r="X996" s="52"/>
      <c r="Y996" s="52"/>
    </row>
    <row r="997">
      <c r="S997" s="52"/>
      <c r="T997" s="52"/>
      <c r="U997" s="52"/>
      <c r="V997" s="52"/>
      <c r="W997" s="52"/>
      <c r="X997" s="52"/>
      <c r="Y997" s="52"/>
    </row>
    <row r="998">
      <c r="S998" s="52"/>
      <c r="T998" s="52"/>
      <c r="U998" s="52"/>
      <c r="V998" s="52"/>
      <c r="W998" s="52"/>
      <c r="X998" s="52"/>
      <c r="Y998" s="52"/>
    </row>
    <row r="999">
      <c r="S999" s="52"/>
      <c r="T999" s="52"/>
      <c r="U999" s="52"/>
      <c r="V999" s="52"/>
      <c r="W999" s="52"/>
      <c r="X999" s="52"/>
      <c r="Y999" s="52"/>
    </row>
    <row r="1000">
      <c r="S1000" s="52"/>
      <c r="T1000" s="52"/>
      <c r="U1000" s="52"/>
      <c r="V1000" s="52"/>
      <c r="W1000" s="52"/>
      <c r="X1000" s="52"/>
      <c r="Y1000" s="52"/>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s>
  <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 customWidth="1" min="4" max="4" width="27.5"/>
    <col customWidth="1" min="5" max="5" width="12.5"/>
  </cols>
  <sheetData>
    <row r="1" ht="225.0" customHeight="1"/>
    <row r="3">
      <c r="C3" s="7"/>
    </row>
    <row r="6" ht="22.5" customHeight="1">
      <c r="A6" s="53" t="s">
        <v>3</v>
      </c>
      <c r="B6" s="53" t="s">
        <v>792</v>
      </c>
      <c r="D6" s="53" t="s">
        <v>793</v>
      </c>
      <c r="E6" s="53" t="s">
        <v>792</v>
      </c>
    </row>
    <row r="7" ht="22.5" customHeight="1">
      <c r="A7" s="54">
        <v>2021.0</v>
      </c>
      <c r="B7" s="54">
        <v>1.0</v>
      </c>
      <c r="D7" s="55" t="s">
        <v>794</v>
      </c>
      <c r="E7" s="54">
        <v>9.0</v>
      </c>
      <c r="H7" s="7" t="str">
        <f t="array" ref="H7:H11">UNIQUE(Sheet3!R2:R48)</f>
        <v>C1 – Caries Detection &amp; Severity</v>
      </c>
      <c r="I7" s="56">
        <f>COUNTIF(Sheet3!$R$2:$R$48,H7)</f>
        <v>19</v>
      </c>
    </row>
    <row r="8" ht="22.5" customHeight="1">
      <c r="A8" s="54">
        <v>2023.0</v>
      </c>
      <c r="B8" s="54">
        <v>2.0</v>
      </c>
      <c r="D8" s="55" t="s">
        <v>311</v>
      </c>
      <c r="E8" s="54">
        <v>8.0</v>
      </c>
      <c r="H8" s="7" t="s">
        <v>65</v>
      </c>
      <c r="I8" s="56">
        <f>COUNTIF(Sheet3!$R$2:$R$48,H8)</f>
        <v>14</v>
      </c>
    </row>
    <row r="9" ht="22.5" customHeight="1">
      <c r="A9" s="54">
        <v>2024.0</v>
      </c>
      <c r="B9" s="54">
        <v>17.0</v>
      </c>
      <c r="D9" s="55" t="s">
        <v>795</v>
      </c>
      <c r="E9" s="54">
        <v>8.0</v>
      </c>
      <c r="H9" s="7" t="s">
        <v>96</v>
      </c>
      <c r="I9" s="56">
        <f>COUNTIF(Sheet3!$R$2:$R$48,H9)</f>
        <v>6</v>
      </c>
    </row>
    <row r="10" ht="22.5" customHeight="1">
      <c r="A10" s="54">
        <v>2025.0</v>
      </c>
      <c r="B10" s="54">
        <v>25.0</v>
      </c>
      <c r="D10" s="55" t="s">
        <v>796</v>
      </c>
      <c r="E10" s="54">
        <v>4.0</v>
      </c>
      <c r="H10" s="7" t="s">
        <v>308</v>
      </c>
      <c r="I10" s="56">
        <f>COUNTIF(Sheet3!$R$2:$R$48,H10)</f>
        <v>4</v>
      </c>
    </row>
    <row r="11" ht="22.5" customHeight="1">
      <c r="A11" s="54">
        <v>2026.0</v>
      </c>
      <c r="B11" s="54">
        <v>2.0</v>
      </c>
      <c r="D11" s="55" t="s">
        <v>797</v>
      </c>
      <c r="E11" s="54">
        <v>3.0</v>
      </c>
      <c r="H11" s="7" t="s">
        <v>338</v>
      </c>
      <c r="I11" s="56">
        <f>COUNTIF(Sheet3!$R$2:$R$48,H11)</f>
        <v>4</v>
      </c>
    </row>
    <row r="12">
      <c r="H12" s="57" t="s">
        <v>798</v>
      </c>
      <c r="I12" s="3">
        <v>0.0</v>
      </c>
    </row>
    <row r="13">
      <c r="H13" s="57"/>
    </row>
    <row r="14">
      <c r="H14" s="57"/>
    </row>
    <row r="15">
      <c r="H15" s="57"/>
    </row>
    <row r="16">
      <c r="H16" s="57"/>
    </row>
    <row r="17">
      <c r="H17" s="57"/>
    </row>
    <row r="18">
      <c r="H18" s="57"/>
    </row>
    <row r="19">
      <c r="H19" s="57"/>
    </row>
    <row r="20">
      <c r="H20" s="57"/>
    </row>
    <row r="21">
      <c r="H21" s="57"/>
    </row>
    <row r="22">
      <c r="H22" s="57"/>
    </row>
    <row r="23">
      <c r="H23" s="57"/>
    </row>
    <row r="24">
      <c r="H24" s="57"/>
    </row>
    <row r="25">
      <c r="H25" s="57"/>
    </row>
    <row r="26">
      <c r="H26" s="57"/>
    </row>
  </sheetData>
  <dataValidations>
    <dataValidation type="custom" allowBlank="1" showDropDown="1" sqref="A7:B11 E7:E11">
      <formula1>AND(ISNUMBER(A7),(NOT(OR(NOT(ISERROR(DATEVALUE(A7))), AND(ISNUMBER(A7), LEFT(CELL("format", A7))="D")))))</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3" t="s">
        <v>793</v>
      </c>
      <c r="B3" s="53" t="s">
        <v>792</v>
      </c>
    </row>
    <row r="4" ht="22.5" customHeight="1">
      <c r="A4" s="55" t="s">
        <v>794</v>
      </c>
      <c r="B4" s="54">
        <v>9.0</v>
      </c>
    </row>
    <row r="5" ht="22.5" customHeight="1">
      <c r="A5" s="55" t="s">
        <v>311</v>
      </c>
      <c r="B5" s="54">
        <v>8.0</v>
      </c>
    </row>
    <row r="6" ht="22.5" customHeight="1">
      <c r="A6" s="55" t="s">
        <v>795</v>
      </c>
      <c r="B6" s="54">
        <v>8.0</v>
      </c>
    </row>
    <row r="7" ht="22.5" customHeight="1">
      <c r="A7" s="55" t="s">
        <v>796</v>
      </c>
      <c r="B7" s="54">
        <v>4.0</v>
      </c>
    </row>
    <row r="8" ht="22.5" customHeight="1">
      <c r="A8" s="55" t="s">
        <v>797</v>
      </c>
      <c r="B8" s="54">
        <v>3.0</v>
      </c>
    </row>
    <row r="10" ht="22.5" customHeight="1">
      <c r="A10" s="53" t="s">
        <v>793</v>
      </c>
      <c r="B10" s="53" t="s">
        <v>792</v>
      </c>
    </row>
    <row r="11" ht="22.5" customHeight="1">
      <c r="A11" s="55" t="s">
        <v>311</v>
      </c>
      <c r="B11" s="54">
        <v>8.0</v>
      </c>
    </row>
    <row r="12" ht="22.5" customHeight="1">
      <c r="A12" s="55" t="s">
        <v>799</v>
      </c>
      <c r="B12" s="54">
        <v>2.0</v>
      </c>
    </row>
    <row r="13" ht="22.5" customHeight="1">
      <c r="A13" s="55" t="s">
        <v>796</v>
      </c>
      <c r="B13" s="54">
        <v>4.0</v>
      </c>
    </row>
    <row r="14" ht="22.5" customHeight="1">
      <c r="A14" s="55" t="s">
        <v>800</v>
      </c>
      <c r="B14" s="54">
        <v>1.0</v>
      </c>
    </row>
    <row r="15" ht="22.5" customHeight="1">
      <c r="A15" s="55" t="s">
        <v>795</v>
      </c>
      <c r="B15" s="54">
        <v>8.0</v>
      </c>
    </row>
    <row r="16" ht="22.5" customHeight="1">
      <c r="A16" s="55" t="s">
        <v>248</v>
      </c>
      <c r="B16" s="54">
        <v>1.0</v>
      </c>
    </row>
    <row r="17" ht="22.5" customHeight="1">
      <c r="A17" s="55" t="s">
        <v>794</v>
      </c>
      <c r="B17" s="54">
        <v>9.0</v>
      </c>
    </row>
    <row r="18" ht="22.5" customHeight="1">
      <c r="A18" s="55" t="s">
        <v>801</v>
      </c>
      <c r="B18" s="54">
        <v>1.0</v>
      </c>
    </row>
    <row r="19" ht="22.5" customHeight="1">
      <c r="A19" s="55" t="s">
        <v>802</v>
      </c>
      <c r="B19" s="54">
        <v>3.0</v>
      </c>
    </row>
    <row r="20" ht="22.5" customHeight="1">
      <c r="A20" s="55" t="s">
        <v>797</v>
      </c>
      <c r="B20" s="54">
        <v>3.0</v>
      </c>
    </row>
    <row r="21" ht="22.5" customHeight="1">
      <c r="A21" s="55" t="s">
        <v>803</v>
      </c>
      <c r="B21" s="54">
        <v>1.0</v>
      </c>
    </row>
    <row r="22" ht="22.5" customHeight="1">
      <c r="A22" s="55" t="s">
        <v>804</v>
      </c>
      <c r="B22" s="54">
        <v>1.0</v>
      </c>
    </row>
    <row r="23" ht="22.5" customHeight="1">
      <c r="A23" s="55" t="s">
        <v>805</v>
      </c>
      <c r="B23" s="54">
        <v>1.0</v>
      </c>
    </row>
    <row r="24" ht="22.5" customHeight="1">
      <c r="A24" s="55" t="s">
        <v>806</v>
      </c>
      <c r="B24" s="54">
        <v>1.0</v>
      </c>
    </row>
    <row r="25" ht="22.5" customHeight="1">
      <c r="A25" s="55" t="s">
        <v>807</v>
      </c>
      <c r="B25" s="54">
        <v>1.0</v>
      </c>
    </row>
    <row r="26" ht="22.5" customHeight="1">
      <c r="A26" s="55" t="s">
        <v>808</v>
      </c>
      <c r="B26" s="54">
        <v>1.0</v>
      </c>
    </row>
    <row r="27" ht="22.5" customHeight="1">
      <c r="A27" s="55" t="s">
        <v>809</v>
      </c>
      <c r="B27" s="54">
        <v>1.0</v>
      </c>
    </row>
  </sheetData>
  <dataValidations>
    <dataValidation type="custom" allowBlank="1" showDropDown="1" sqref="B4:B8 B11:B27">
      <formula1>AND(ISNUMBER(B4),(NOT(OR(NOT(ISERROR(DATEVALUE(B4))), AND(ISNUMBER(B4), LEFT(CELL("format", B4))="D")))))</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5" width="12.63"/>
  </cols>
  <sheetData>
    <row r="1" ht="225.0" customHeight="1">
      <c r="A1" s="7"/>
    </row>
    <row r="2" ht="75.0" customHeight="1">
      <c r="A2" s="58"/>
    </row>
    <row r="3" ht="22.5" customHeight="1">
      <c r="A3" s="53" t="s">
        <v>7</v>
      </c>
      <c r="B3" s="53" t="s">
        <v>810</v>
      </c>
    </row>
    <row r="4" ht="22.5" customHeight="1">
      <c r="A4" s="55" t="s">
        <v>71</v>
      </c>
      <c r="B4" s="54">
        <v>3.25</v>
      </c>
    </row>
    <row r="5" ht="22.5" customHeight="1">
      <c r="A5" s="55" t="s">
        <v>447</v>
      </c>
      <c r="B5" s="54">
        <v>3.4</v>
      </c>
    </row>
    <row r="6" ht="22.5" customHeight="1">
      <c r="A6" s="55" t="s">
        <v>146</v>
      </c>
      <c r="B6" s="54">
        <v>4.3</v>
      </c>
    </row>
    <row r="7" ht="22.5" customHeight="1">
      <c r="A7" s="55" t="s">
        <v>177</v>
      </c>
      <c r="B7" s="54">
        <v>4.15</v>
      </c>
    </row>
    <row r="8" ht="22.5" customHeight="1">
      <c r="A8" s="55" t="s">
        <v>359</v>
      </c>
      <c r="B8" s="54">
        <v>3.8</v>
      </c>
    </row>
    <row r="9" ht="22.5" customHeight="1">
      <c r="A9" s="55" t="s">
        <v>523</v>
      </c>
      <c r="B9" s="54">
        <v>4.0</v>
      </c>
    </row>
    <row r="10" ht="22.5" customHeight="1">
      <c r="A10" s="55" t="s">
        <v>387</v>
      </c>
      <c r="B10" s="54">
        <v>3.6</v>
      </c>
    </row>
    <row r="11" ht="22.5" customHeight="1">
      <c r="A11" s="55" t="s">
        <v>432</v>
      </c>
      <c r="B11" s="54">
        <v>3.55</v>
      </c>
    </row>
    <row r="12" ht="22.5" customHeight="1">
      <c r="A12" s="55" t="s">
        <v>207</v>
      </c>
      <c r="B12" s="54">
        <v>3.45</v>
      </c>
    </row>
    <row r="13" ht="22.5" customHeight="1">
      <c r="A13" s="55" t="s">
        <v>537</v>
      </c>
      <c r="B13" s="54">
        <v>3.6</v>
      </c>
    </row>
    <row r="14" ht="22.5" customHeight="1">
      <c r="A14" s="55" t="s">
        <v>87</v>
      </c>
      <c r="B14" s="54">
        <v>4.3</v>
      </c>
    </row>
    <row r="15" ht="22.5" customHeight="1">
      <c r="A15" s="55" t="s">
        <v>118</v>
      </c>
      <c r="B15" s="54">
        <v>4.1</v>
      </c>
    </row>
    <row r="16" ht="22.5" customHeight="1">
      <c r="A16" s="55" t="s">
        <v>417</v>
      </c>
      <c r="B16" s="54">
        <v>3.3</v>
      </c>
    </row>
    <row r="17" ht="22.5" customHeight="1">
      <c r="A17" s="55" t="s">
        <v>41</v>
      </c>
      <c r="B17" s="54">
        <v>3.85</v>
      </c>
    </row>
    <row r="18" ht="22.5" customHeight="1">
      <c r="A18" s="55" t="s">
        <v>283</v>
      </c>
      <c r="B18" s="54">
        <v>3.6</v>
      </c>
    </row>
    <row r="19" ht="22.5" customHeight="1">
      <c r="A19" s="55" t="s">
        <v>478</v>
      </c>
      <c r="B19" s="54">
        <v>4.15</v>
      </c>
    </row>
    <row r="20" ht="22.5" customHeight="1">
      <c r="A20" s="55" t="s">
        <v>222</v>
      </c>
      <c r="B20" s="54">
        <v>4.05</v>
      </c>
    </row>
    <row r="21" ht="22.5" customHeight="1">
      <c r="A21" s="55" t="s">
        <v>266</v>
      </c>
      <c r="B21" s="54">
        <v>3.4</v>
      </c>
    </row>
    <row r="22" ht="22.5" customHeight="1">
      <c r="A22" s="55" t="s">
        <v>236</v>
      </c>
      <c r="B22" s="54">
        <v>3.55</v>
      </c>
    </row>
    <row r="23" ht="22.5" customHeight="1">
      <c r="A23" s="55" t="s">
        <v>315</v>
      </c>
      <c r="B23" s="54">
        <v>4.75</v>
      </c>
    </row>
    <row r="24" ht="22.5" customHeight="1">
      <c r="A24" s="55" t="s">
        <v>508</v>
      </c>
      <c r="B24" s="54">
        <v>3.5</v>
      </c>
    </row>
    <row r="25" ht="22.5" customHeight="1">
      <c r="A25" s="55" t="s">
        <v>664</v>
      </c>
      <c r="B25" s="54">
        <v>3.85</v>
      </c>
    </row>
    <row r="26" ht="22.5" customHeight="1">
      <c r="A26" s="55" t="s">
        <v>373</v>
      </c>
      <c r="B26" s="54">
        <v>3.15</v>
      </c>
    </row>
    <row r="27" ht="22.5" customHeight="1">
      <c r="A27" s="55" t="s">
        <v>402</v>
      </c>
      <c r="B27" s="54">
        <v>3.95</v>
      </c>
    </row>
    <row r="28" ht="22.5" customHeight="1">
      <c r="A28" s="55" t="s">
        <v>608</v>
      </c>
      <c r="B28" s="54">
        <v>4.3</v>
      </c>
    </row>
    <row r="29" ht="22.5" customHeight="1">
      <c r="A29" s="55" t="s">
        <v>705</v>
      </c>
      <c r="B29" s="54">
        <v>3.4</v>
      </c>
    </row>
    <row r="30" ht="22.5" customHeight="1">
      <c r="A30" s="55" t="s">
        <v>56</v>
      </c>
      <c r="B30" s="54">
        <v>4.35</v>
      </c>
    </row>
    <row r="31" ht="22.5" customHeight="1">
      <c r="A31" s="55" t="s">
        <v>650</v>
      </c>
      <c r="B31" s="54">
        <v>4.25</v>
      </c>
    </row>
    <row r="32" ht="22.5" customHeight="1">
      <c r="A32" s="55" t="s">
        <v>132</v>
      </c>
      <c r="B32" s="54">
        <v>4.1</v>
      </c>
    </row>
    <row r="33" ht="22.5" customHeight="1">
      <c r="A33" s="55" t="s">
        <v>103</v>
      </c>
      <c r="B33" s="54">
        <v>4.5</v>
      </c>
    </row>
    <row r="34" ht="22.5" customHeight="1">
      <c r="A34" s="55" t="s">
        <v>192</v>
      </c>
      <c r="B34" s="54">
        <v>3.35</v>
      </c>
    </row>
    <row r="35" ht="22.5" customHeight="1">
      <c r="A35" s="55" t="s">
        <v>24</v>
      </c>
      <c r="B35" s="54">
        <v>4.35</v>
      </c>
    </row>
    <row r="36" ht="22.5" customHeight="1">
      <c r="A36" s="55" t="s">
        <v>344</v>
      </c>
      <c r="B36" s="54">
        <v>3.9</v>
      </c>
    </row>
    <row r="37" ht="22.5" customHeight="1">
      <c r="A37" s="55" t="s">
        <v>565</v>
      </c>
      <c r="B37" s="54">
        <v>3.85</v>
      </c>
    </row>
    <row r="38" ht="22.5" customHeight="1">
      <c r="A38" s="55" t="s">
        <v>251</v>
      </c>
      <c r="B38" s="54">
        <v>4.4</v>
      </c>
    </row>
    <row r="39" ht="22.5" customHeight="1">
      <c r="A39" s="55" t="s">
        <v>162</v>
      </c>
      <c r="B39" s="54">
        <v>3.6</v>
      </c>
    </row>
    <row r="40" ht="22.5" customHeight="1">
      <c r="A40" s="55" t="s">
        <v>580</v>
      </c>
      <c r="B40" s="54">
        <v>4.05</v>
      </c>
    </row>
    <row r="41" ht="22.5" customHeight="1">
      <c r="A41" s="55" t="s">
        <v>551</v>
      </c>
      <c r="B41" s="54">
        <v>3.55</v>
      </c>
    </row>
  </sheetData>
  <mergeCells count="2">
    <mergeCell ref="A1:E1"/>
    <mergeCell ref="A2:E2"/>
  </mergeCells>
  <dataValidations>
    <dataValidation type="custom" allowBlank="1" showDropDown="1" sqref="B4:B41">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63"/>
  </cols>
  <sheetData>
    <row r="1" ht="225.0" customHeight="1"/>
    <row r="3" ht="22.5" customHeight="1">
      <c r="A3" s="53" t="s">
        <v>811</v>
      </c>
      <c r="B3" s="53" t="s">
        <v>812</v>
      </c>
      <c r="C3" s="53" t="s">
        <v>813</v>
      </c>
      <c r="D3" s="53" t="s">
        <v>814</v>
      </c>
    </row>
    <row r="4" ht="22.5" customHeight="1">
      <c r="A4" s="55"/>
      <c r="B4" s="54">
        <v>4.0</v>
      </c>
      <c r="C4" s="55"/>
      <c r="D4" s="55"/>
    </row>
    <row r="5" ht="22.5" customHeight="1">
      <c r="A5" s="55" t="s">
        <v>815</v>
      </c>
      <c r="B5" s="54">
        <v>65.2</v>
      </c>
      <c r="C5" s="54">
        <v>3.6</v>
      </c>
      <c r="D5" s="55"/>
    </row>
    <row r="6" ht="22.5" customHeight="1">
      <c r="A6" s="55" t="s">
        <v>816</v>
      </c>
      <c r="B6" s="54">
        <v>27.75</v>
      </c>
      <c r="C6" s="54">
        <v>17.55</v>
      </c>
      <c r="D6" s="54">
        <v>3.15</v>
      </c>
    </row>
    <row r="7" ht="22.5" customHeight="1">
      <c r="A7" s="55" t="s">
        <v>817</v>
      </c>
      <c r="B7" s="54">
        <v>25.3</v>
      </c>
      <c r="C7" s="55"/>
      <c r="D7" s="55"/>
    </row>
  </sheetData>
  <dataValidations>
    <dataValidation type="custom" allowBlank="1" showDropDown="1" sqref="B4:D7">
      <formula1>AND(ISNUMBER(B4),(NOT(OR(NOT(ISERROR(DATEVALUE(B4))), AND(ISNUMBER(B4), LEFT(CELL("format", B4))="D")))))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3" t="s">
        <v>818</v>
      </c>
      <c r="B3" s="53" t="s">
        <v>819</v>
      </c>
    </row>
    <row r="4" ht="22.5" customHeight="1">
      <c r="A4" s="55" t="s">
        <v>820</v>
      </c>
      <c r="B4" s="54">
        <v>149.4</v>
      </c>
    </row>
    <row r="5" ht="22.5" customHeight="1">
      <c r="A5" s="55" t="s">
        <v>821</v>
      </c>
      <c r="B5" s="54">
        <v>91.1</v>
      </c>
    </row>
    <row r="6" ht="22.5" customHeight="1">
      <c r="A6" s="55" t="s">
        <v>822</v>
      </c>
      <c r="B6" s="54">
        <v>66.4</v>
      </c>
    </row>
    <row r="7" ht="22.5" customHeight="1">
      <c r="A7" s="55" t="s">
        <v>823</v>
      </c>
      <c r="B7" s="54">
        <v>53.05</v>
      </c>
    </row>
    <row r="8" ht="22.5" customHeight="1">
      <c r="A8" s="55" t="s">
        <v>824</v>
      </c>
      <c r="B8" s="54">
        <v>30.65</v>
      </c>
    </row>
  </sheetData>
  <dataValidations>
    <dataValidation type="custom" allowBlank="1" showDropDown="1" sqref="B4:B8">
      <formula1>AND(ISNUMBER(B4),(NOT(OR(NOT(ISERROR(DATEVALUE(B4))), AND(ISNUMBER(B4), LEFT(CELL("format", B4))="D")))))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3" t="s">
        <v>818</v>
      </c>
      <c r="B3" s="53" t="s">
        <v>819</v>
      </c>
    </row>
    <row r="4" ht="22.5" customHeight="1">
      <c r="A4" s="55" t="s">
        <v>820</v>
      </c>
      <c r="B4" s="54">
        <v>64.4</v>
      </c>
    </row>
    <row r="5" ht="22.5" customHeight="1">
      <c r="A5" s="55" t="s">
        <v>821</v>
      </c>
      <c r="B5" s="54">
        <v>40.1</v>
      </c>
    </row>
    <row r="6" ht="22.5" customHeight="1">
      <c r="A6" s="55" t="s">
        <v>822</v>
      </c>
      <c r="B6" s="54">
        <v>36.5</v>
      </c>
    </row>
    <row r="7" ht="22.5" customHeight="1">
      <c r="A7" s="55" t="s">
        <v>823</v>
      </c>
      <c r="B7" s="54">
        <v>18.95</v>
      </c>
    </row>
    <row r="8" ht="22.5" customHeight="1">
      <c r="A8" s="55" t="s">
        <v>824</v>
      </c>
      <c r="B8" s="54">
        <v>8.7</v>
      </c>
    </row>
  </sheetData>
  <dataValidations>
    <dataValidation type="custom" allowBlank="1" showDropDown="1" sqref="B4:B8">
      <formula1>AND(ISNUMBER(B4),(NOT(OR(NOT(ISERROR(DATEVALUE(B4))), AND(ISNUMBER(B4), LEFT(CELL("format", B4))="D")))))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3" t="s">
        <v>818</v>
      </c>
      <c r="B3" s="53" t="s">
        <v>819</v>
      </c>
    </row>
    <row r="4" ht="22.5" customHeight="1">
      <c r="A4" s="55" t="s">
        <v>823</v>
      </c>
      <c r="B4" s="54">
        <v>19.9</v>
      </c>
    </row>
    <row r="5" ht="22.5" customHeight="1">
      <c r="A5" s="55" t="s">
        <v>820</v>
      </c>
      <c r="B5" s="54">
        <v>46.0</v>
      </c>
    </row>
    <row r="6" ht="22.5" customHeight="1">
      <c r="A6" s="55" t="s">
        <v>822</v>
      </c>
      <c r="B6" s="54">
        <v>15.95</v>
      </c>
    </row>
    <row r="7" ht="22.5" customHeight="1">
      <c r="A7" s="55" t="s">
        <v>821</v>
      </c>
      <c r="B7" s="54">
        <v>24.65</v>
      </c>
    </row>
  </sheetData>
  <dataValidations>
    <dataValidation type="custom" allowBlank="1" showDropDown="1" sqref="B4:B7">
      <formula1>AND(ISNUMBER(B4),(NOT(OR(NOT(ISERROR(DATEVALUE(B4))), AND(ISNUMBER(B4), LEFT(CELL("format", B4))="D")))))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3" t="s">
        <v>818</v>
      </c>
      <c r="B3" s="53" t="s">
        <v>819</v>
      </c>
    </row>
    <row r="4" ht="22.5" customHeight="1">
      <c r="A4" s="55" t="s">
        <v>823</v>
      </c>
      <c r="B4" s="54">
        <v>4.1</v>
      </c>
    </row>
    <row r="5" ht="22.5" customHeight="1">
      <c r="A5" s="55" t="s">
        <v>820</v>
      </c>
      <c r="B5" s="54">
        <v>22.05</v>
      </c>
    </row>
    <row r="6" ht="22.5" customHeight="1">
      <c r="A6" s="55" t="s">
        <v>824</v>
      </c>
      <c r="B6" s="54">
        <v>8.6</v>
      </c>
    </row>
    <row r="7" ht="22.5" customHeight="1">
      <c r="A7" s="55" t="s">
        <v>821</v>
      </c>
      <c r="B7" s="54">
        <v>13.8999999999999</v>
      </c>
    </row>
  </sheetData>
  <dataValidations>
    <dataValidation type="custom" allowBlank="1" showDropDown="1" sqref="B4:B7">
      <formula1>AND(ISNUMBER(B4),(NOT(OR(NOT(ISERROR(DATEVALUE(B4))), AND(ISNUMBER(B4), LEFT(CELL("format", B4))="D")))))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53" t="s">
        <v>825</v>
      </c>
      <c r="B3" s="53" t="s">
        <v>792</v>
      </c>
    </row>
    <row r="4" ht="22.5" customHeight="1">
      <c r="A4" s="55" t="s">
        <v>826</v>
      </c>
      <c r="B4" s="54">
        <v>13.0</v>
      </c>
    </row>
    <row r="5" ht="22.5" customHeight="1">
      <c r="A5" s="55" t="s">
        <v>827</v>
      </c>
      <c r="B5" s="54">
        <v>14.0</v>
      </c>
    </row>
    <row r="6" ht="22.5" customHeight="1">
      <c r="A6" s="55" t="s">
        <v>828</v>
      </c>
      <c r="B6" s="54">
        <v>11.0</v>
      </c>
    </row>
    <row r="7" ht="22.5" customHeight="1">
      <c r="A7" s="55" t="s">
        <v>829</v>
      </c>
      <c r="B7" s="54">
        <v>10.0</v>
      </c>
    </row>
    <row r="8" ht="22.5" customHeight="1">
      <c r="A8" s="55" t="s">
        <v>830</v>
      </c>
      <c r="B8" s="54">
        <v>9.0</v>
      </c>
    </row>
    <row r="9" ht="22.5" customHeight="1">
      <c r="A9" s="55" t="s">
        <v>831</v>
      </c>
      <c r="B9" s="54">
        <v>27.0</v>
      </c>
    </row>
  </sheetData>
  <dataValidations>
    <dataValidation type="custom" allowBlank="1" showDropDown="1" sqref="B4:B9">
      <formula1>AND(ISNUMBER(B4),(NOT(OR(NOT(ISERROR(DATEVALUE(B4))), AND(ISNUMBER(B4), LEFT(CELL("format", B4))="D")))))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ht="225.0" customHeight="1"/>
    <row r="3" ht="22.5" customHeight="1">
      <c r="A3" s="53" t="s">
        <v>825</v>
      </c>
      <c r="B3" s="53" t="s">
        <v>832</v>
      </c>
      <c r="C3" s="53" t="s">
        <v>833</v>
      </c>
      <c r="D3" s="53" t="s">
        <v>834</v>
      </c>
      <c r="E3" s="53" t="s">
        <v>835</v>
      </c>
    </row>
    <row r="4" ht="22.5" customHeight="1">
      <c r="A4" s="55" t="s">
        <v>834</v>
      </c>
      <c r="B4" s="55"/>
      <c r="C4" s="55"/>
      <c r="D4" s="54">
        <v>5.0</v>
      </c>
      <c r="E4" s="55"/>
    </row>
    <row r="5" ht="22.5" customHeight="1">
      <c r="A5" s="55" t="s">
        <v>835</v>
      </c>
      <c r="B5" s="55"/>
      <c r="C5" s="55"/>
      <c r="D5" s="55"/>
      <c r="E5" s="54">
        <v>5.0</v>
      </c>
    </row>
    <row r="6" ht="22.5" customHeight="1">
      <c r="A6" s="55" t="s">
        <v>832</v>
      </c>
      <c r="B6" s="54">
        <v>14.0</v>
      </c>
      <c r="C6" s="55"/>
      <c r="D6" s="55"/>
      <c r="E6" s="55"/>
    </row>
    <row r="7" ht="22.5" customHeight="1">
      <c r="A7" s="55" t="s">
        <v>833</v>
      </c>
      <c r="B7" s="55"/>
      <c r="C7" s="54">
        <v>6.0</v>
      </c>
      <c r="D7" s="55"/>
      <c r="E7" s="55"/>
    </row>
  </sheetData>
  <dataValidations>
    <dataValidation type="custom" allowBlank="1" showDropDown="1" sqref="B4:E7">
      <formula1>AND(ISNUMBER(B4),(NOT(OR(NOT(ISERROR(DATEVALUE(B4))), AND(ISNUMBER(B4), LEFT(CELL("format", B4))="D")))))</formula1>
    </dataValidation>
  </dataValidations>
  <drawing r:id="rId1"/>
  <tableParts count="1">
    <tablePart r:id="rId3"/>
  </tableParts>
</worksheet>
</file>